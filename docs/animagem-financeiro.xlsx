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antacao" sheetId="1" state="visible" r:id="rId1"/>
    <sheet xmlns:r="http://schemas.openxmlformats.org/officeDocument/2006/relationships" name="Custos Mensais" sheetId="2" state="visible" r:id="rId2"/>
    <sheet xmlns:r="http://schemas.openxmlformats.org/officeDocument/2006/relationships" name="Plano Financeiro" sheetId="3" state="visible" r:id="rId3"/>
    <sheet xmlns:r="http://schemas.openxmlformats.org/officeDocument/2006/relationships" name="Metas e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;(R$ #,##0);&quot;-&quot;"/>
    <numFmt numFmtId="165" formatCode="0.0%;-0.0%;&quot;-&quot;"/>
    <numFmt numFmtId="166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A5A1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F0A1A"/>
      <sz val="10"/>
    </font>
    <font>
      <name val="Arial"/>
      <color rgb="000000FF"/>
      <sz val="10"/>
    </font>
    <font>
      <name val="Arial"/>
      <b val="1"/>
      <color rgb="00C0392B"/>
      <sz val="10"/>
    </font>
    <font>
      <name val="Arial"/>
      <b val="1"/>
      <color rgb="00C8A84B"/>
      <sz val="10"/>
    </font>
    <font>
      <name val="Arial"/>
      <b val="1"/>
      <color rgb="003D7A6A"/>
      <sz val="10"/>
    </font>
    <font>
      <name val="Arial"/>
      <b val="1"/>
      <color rgb="000F0A1A"/>
      <sz val="10"/>
    </font>
    <font>
      <name val="Arial"/>
      <b val="1"/>
      <color rgb="00000000"/>
      <sz val="10"/>
    </font>
    <font>
      <name val="Arial"/>
      <b val="1"/>
      <color rgb="004A2D6E"/>
      <sz val="10"/>
    </font>
    <font>
      <name val="Arial"/>
      <b val="1"/>
      <color rgb="00FFFFFF"/>
      <sz val="9"/>
    </font>
    <font>
      <name val="Arial"/>
      <b val="1"/>
      <color rgb="000F0A1A"/>
      <sz val="9"/>
    </font>
    <font>
      <name val="Arial"/>
      <color rgb="000F0A1A"/>
      <sz val="8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F0A1A"/>
      </patternFill>
    </fill>
    <fill>
      <patternFill patternType="solid">
        <fgColor rgb="00FFFBEA"/>
      </patternFill>
    </fill>
    <fill>
      <patternFill patternType="solid">
        <fgColor rgb="004A2D6E"/>
      </patternFill>
    </fill>
    <fill>
      <patternFill patternType="solid">
        <fgColor rgb="003D7A6A"/>
      </patternFill>
    </fill>
    <fill>
      <patternFill patternType="solid">
        <fgColor rgb="00FFFFFF"/>
      </patternFill>
    </fill>
    <fill>
      <patternFill patternType="solid">
        <fgColor rgb="00FAF7F2"/>
      </patternFill>
    </fill>
    <fill>
      <patternFill patternType="solid">
        <fgColor rgb="00F0EAF8"/>
      </patternFill>
    </fill>
    <fill>
      <patternFill patternType="solid">
        <fgColor rgb="00F5F0E8"/>
      </patternFill>
    </fill>
    <fill>
      <patternFill patternType="solid">
        <fgColor rgb="00E8F2EF"/>
      </patternFill>
    </fill>
    <fill>
      <patternFill patternType="solid">
        <fgColor rgb="00FFF8E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D0C8E0"/>
      </left>
      <right style="thin">
        <color rgb="00D0C8E0"/>
      </right>
      <top style="thin">
        <color rgb="00D0C8E0"/>
      </top>
      <bottom style="thin">
        <color rgb="00D0C8E0"/>
      </bottom>
    </border>
    <border>
      <left/>
      <right/>
      <top style="thin">
        <color rgb="00D0C8E0"/>
      </top>
      <bottom/>
      <diagonal/>
    </border>
    <border>
      <left/>
      <right style="thin">
        <color rgb="00D0C8E0"/>
      </right>
      <top style="thin">
        <color rgb="00D0C8E0"/>
      </top>
      <bottom/>
      <diagonal/>
    </border>
    <border>
      <left/>
      <right/>
      <top style="thin">
        <color rgb="00D0C8E0"/>
      </top>
      <bottom style="thin">
        <color rgb="00D0C8E0"/>
      </bottom>
      <diagonal/>
    </border>
    <border>
      <left/>
      <right style="thin">
        <color rgb="00D0C8E0"/>
      </right>
      <top style="thin">
        <color rgb="00D0C8E0"/>
      </top>
      <bottom style="thin">
        <color rgb="00D0C8E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9" borderId="1" pivotButton="0" quotePrefix="0" xfId="0"/>
    <xf numFmtId="0" fontId="15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right" vertical="center"/>
    </xf>
    <xf numFmtId="164" fontId="16" fillId="8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16" fillId="7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6" fontId="16" fillId="8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2" customWidth="1" min="4" max="4"/>
    <col width="22" customWidth="1" min="5" max="5"/>
    <col width="28" customWidth="1" min="6" max="6"/>
    <col width="14" customWidth="1" min="7" max="7"/>
    <col width="14" customWidth="1" min="8" max="8"/>
  </cols>
  <sheetData>
    <row r="1" ht="36" customHeight="1">
      <c r="A1" s="1" t="inlineStr">
        <is>
          <t>ANIMAGEM — Custos de Implantacao (One-time)</t>
        </is>
      </c>
    </row>
    <row r="2" ht="20" customHeight="1">
      <c r="A2" s="2" t="inlineStr">
        <is>
          <t>Valores em azul sao editaveis. Formulas em preto calculam automaticamente. Texto em verde referencia outras abas.</t>
        </is>
      </c>
    </row>
    <row r="4" ht="28" customHeight="1">
      <c r="A4" s="3" t="inlineStr">
        <is>
          <t>Item</t>
        </is>
      </c>
      <c r="B4" s="3" t="inlineStr">
        <is>
          <t>Custo Minimo (R$)</t>
        </is>
      </c>
      <c r="C4" s="3" t="inlineStr">
        <is>
          <t>Custo Maximo (R$)</t>
        </is>
      </c>
      <c r="D4" s="3" t="inlineStr">
        <is>
          <t>Prioridade</t>
        </is>
      </c>
      <c r="E4" s="3" t="inlineStr">
        <is>
          <t>Quando fazer</t>
        </is>
      </c>
      <c r="F4" s="3" t="inlineStr">
        <is>
          <t>Observacoes</t>
        </is>
      </c>
      <c r="G4" s="3" t="inlineStr">
        <is>
          <t>Obrigatorio?</t>
        </is>
      </c>
      <c r="H4" s="3" t="inlineStr">
        <is>
          <t>Categoria</t>
        </is>
      </c>
    </row>
    <row r="5" ht="24" customHeight="1">
      <c r="A5" s="4" t="inlineStr">
        <is>
          <t xml:space="preserve">  JURIDICO E SOCIETARIO</t>
        </is>
      </c>
    </row>
    <row r="6" ht="20" customHeight="1">
      <c r="A6" s="5" t="inlineStr">
        <is>
          <t>Abertura LTDA (Junta Comercial SP)</t>
        </is>
      </c>
      <c r="B6" s="6" t="n">
        <v>500</v>
      </c>
      <c r="C6" s="6" t="n">
        <v>800</v>
      </c>
      <c r="D6" s="7" t="inlineStr">
        <is>
          <t>Alta</t>
        </is>
      </c>
      <c r="E6" s="5" t="inlineStr">
        <is>
          <t>Antes de faturar</t>
        </is>
      </c>
      <c r="F6" s="5" t="inlineStr">
        <is>
          <t>Contador cuida. Prazo: 30-60 dias</t>
        </is>
      </c>
      <c r="G6" s="7" t="inlineStr">
        <is>
          <t>Sim</t>
        </is>
      </c>
      <c r="H6" s="8" t="inlineStr">
        <is>
          <t>Legal</t>
        </is>
      </c>
    </row>
    <row r="7" ht="20" customHeight="1">
      <c r="A7" s="5" t="inlineStr">
        <is>
          <t>Honorarios contador - abertura</t>
        </is>
      </c>
      <c r="B7" s="6" t="n">
        <v>300</v>
      </c>
      <c r="C7" s="6" t="n">
        <v>500</v>
      </c>
      <c r="D7" s="7" t="inlineStr">
        <is>
          <t>Alta</t>
        </is>
      </c>
      <c r="E7" s="5" t="inlineStr">
        <is>
          <t>Antes de faturar</t>
        </is>
      </c>
      <c r="F7" s="5" t="inlineStr">
        <is>
          <t>Custo unico de abertura</t>
        </is>
      </c>
      <c r="G7" s="7" t="inlineStr">
        <is>
          <t>Sim</t>
        </is>
      </c>
      <c r="H7" s="8" t="inlineStr">
        <is>
          <t>Legal</t>
        </is>
      </c>
    </row>
    <row r="8" ht="20" customHeight="1">
      <c r="A8" s="5" t="inlineStr">
        <is>
          <t>Registro de marca INPI (2 classes)</t>
        </is>
      </c>
      <c r="B8" s="6" t="n">
        <v>710</v>
      </c>
      <c r="C8" s="6" t="n">
        <v>1200</v>
      </c>
      <c r="D8" s="7" t="inlineStr">
        <is>
          <t>Alta</t>
        </is>
      </c>
      <c r="E8" s="5" t="inlineStr">
        <is>
          <t>Imediato</t>
        </is>
      </c>
      <c r="F8" s="5" t="inlineStr">
        <is>
          <t>Classe 44 (saude animal) + Classe 42 (tecnologia). Prioridade vale da data do pedido</t>
        </is>
      </c>
      <c r="G8" s="7" t="inlineStr">
        <is>
          <t>Sim</t>
        </is>
      </c>
      <c r="H8" s="8" t="inlineStr">
        <is>
          <t>Legal</t>
        </is>
      </c>
    </row>
    <row r="9" ht="20" customHeight="1">
      <c r="A9" s="5" t="inlineStr">
        <is>
          <t>Contrato social (rascunho advogado</t>
        </is>
      </c>
      <c r="B9" s="6" t="n">
        <v>500</v>
      </c>
      <c r="C9" s="6" t="n">
        <v>1500</v>
      </c>
      <c r="D9" s="9" t="inlineStr">
        <is>
          <t>Media</t>
        </is>
      </c>
      <c r="E9" s="5" t="inlineStr">
        <is>
          <t>Com abertura</t>
        </is>
      </c>
      <c r="F9" s="5" t="inlineStr">
        <is>
          <t>Pode usar modelo padrao de contador</t>
        </is>
      </c>
      <c r="G9" s="10" t="inlineStr">
        <is>
          <t>Nao</t>
        </is>
      </c>
      <c r="H9" s="8" t="inlineStr">
        <is>
          <t>Legal</t>
        </is>
      </c>
    </row>
    <row r="10" ht="20" customHeight="1">
      <c r="A10" s="5" t="inlineStr">
        <is>
          <t>Contrato de uso da plataforma (MV)</t>
        </is>
      </c>
      <c r="B10" s="6" t="n">
        <v>800</v>
      </c>
      <c r="C10" s="6" t="n">
        <v>2000</v>
      </c>
      <c r="D10" s="9" t="inlineStr">
        <is>
          <t>Media</t>
        </is>
      </c>
      <c r="E10" s="5" t="inlineStr">
        <is>
          <t>Antes de captar medicos</t>
        </is>
      </c>
      <c r="F10" s="5" t="inlineStr">
        <is>
          <t>Advogado especializado em tech/startups</t>
        </is>
      </c>
      <c r="G10" s="7" t="inlineStr">
        <is>
          <t>Sim</t>
        </is>
      </c>
      <c r="H10" s="8" t="inlineStr">
        <is>
          <t>Legal</t>
        </is>
      </c>
    </row>
    <row r="11" ht="20" customHeight="1">
      <c r="A11" s="5" t="inlineStr">
        <is>
          <t>Contrato com tutores (termos de uso)</t>
        </is>
      </c>
      <c r="B11" s="6" t="n">
        <v>500</v>
      </c>
      <c r="C11" s="6" t="n">
        <v>1200</v>
      </c>
      <c r="D11" s="9" t="inlineStr">
        <is>
          <t>Media</t>
        </is>
      </c>
      <c r="E11" s="5" t="inlineStr">
        <is>
          <t>Antes do lancamento</t>
        </is>
      </c>
      <c r="F11" s="5" t="inlineStr">
        <is>
          <t>Pode ser simplificado no inicio</t>
        </is>
      </c>
      <c r="G11" s="7" t="inlineStr">
        <is>
          <t>Sim</t>
        </is>
      </c>
      <c r="H11" s="8" t="inlineStr">
        <is>
          <t>Legal</t>
        </is>
      </c>
    </row>
    <row r="12" ht="24" customHeight="1">
      <c r="A12" s="4" t="inlineStr">
        <is>
          <t xml:space="preserve">  TECNOLOGIA E INFRAESTRUTURA</t>
        </is>
      </c>
    </row>
    <row r="13" ht="20" customHeight="1">
      <c r="A13" s="5" t="inlineStr">
        <is>
          <t>Dominio animagem.com.br (1 ano)</t>
        </is>
      </c>
      <c r="B13" s="6" t="n">
        <v>40</v>
      </c>
      <c r="C13" s="6" t="n">
        <v>40</v>
      </c>
      <c r="D13" s="7" t="inlineStr">
        <is>
          <t>Alta</t>
        </is>
      </c>
      <c r="E13" s="5" t="inlineStr">
        <is>
          <t>Imediato</t>
        </is>
      </c>
      <c r="F13" s="5" t="inlineStr">
        <is>
          <t>Registro.br - R$40/ano fixo</t>
        </is>
      </c>
      <c r="G13" s="7" t="inlineStr">
        <is>
          <t>Sim</t>
        </is>
      </c>
      <c r="H13" s="8" t="inlineStr">
        <is>
          <t>Tech</t>
        </is>
      </c>
    </row>
    <row r="14" ht="20" customHeight="1">
      <c r="A14" s="5" t="inlineStr">
        <is>
          <t>Dominio animagem.com (1 ano)</t>
        </is>
      </c>
      <c r="B14" s="6" t="n">
        <v>60</v>
      </c>
      <c r="C14" s="6" t="n">
        <v>120</v>
      </c>
      <c r="D14" s="9" t="inlineStr">
        <is>
          <t>Media</t>
        </is>
      </c>
      <c r="E14" s="5" t="inlineStr">
        <is>
          <t>Imediato</t>
        </is>
      </c>
      <c r="F14" s="5" t="inlineStr">
        <is>
          <t>GoDaddy ou Cloudflare</t>
        </is>
      </c>
      <c r="G14" s="10" t="inlineStr">
        <is>
          <t>Nao</t>
        </is>
      </c>
      <c r="H14" s="8" t="inlineStr">
        <is>
          <t>Tech</t>
        </is>
      </c>
    </row>
    <row r="15" ht="20" customHeight="1">
      <c r="A15" s="5" t="inlineStr">
        <is>
          <t>Google Workspace (3 meses adiantado)</t>
        </is>
      </c>
      <c r="B15" s="6" t="n">
        <v>102</v>
      </c>
      <c r="C15" s="6" t="n">
        <v>102</v>
      </c>
      <c r="D15" s="7" t="inlineStr">
        <is>
          <t>Alta</t>
        </is>
      </c>
      <c r="E15" s="5" t="inlineStr">
        <is>
          <t>Com abertura LTDA</t>
        </is>
      </c>
      <c r="F15" s="5" t="inlineStr">
        <is>
          <t>R$34/mes x 3 meses. Email @animagem.com.br</t>
        </is>
      </c>
      <c r="G15" s="7" t="inlineStr">
        <is>
          <t>Sim</t>
        </is>
      </c>
      <c r="H15" s="8" t="inlineStr">
        <is>
          <t>Tech</t>
        </is>
      </c>
    </row>
    <row r="16" ht="20" customHeight="1">
      <c r="A16" s="5" t="inlineStr">
        <is>
          <t>Desenvolvimento backend (Supabase setup)</t>
        </is>
      </c>
      <c r="B16" s="6" t="n">
        <v>0</v>
      </c>
      <c r="C16" s="6" t="n">
        <v>0</v>
      </c>
      <c r="D16" s="7" t="inlineStr">
        <is>
          <t>Alta</t>
        </is>
      </c>
      <c r="E16" s="5" t="inlineStr">
        <is>
          <t>Fase 2</t>
        </is>
      </c>
      <c r="F16" s="5" t="inlineStr">
        <is>
          <t>Gratuito no inicio - tier free</t>
        </is>
      </c>
      <c r="G16" s="7" t="inlineStr">
        <is>
          <t>Sim</t>
        </is>
      </c>
      <c r="H16" s="8" t="inlineStr">
        <is>
          <t>Tech</t>
        </is>
      </c>
    </row>
    <row r="17" ht="20" customHeight="1">
      <c r="A17" s="5" t="inlineStr">
        <is>
          <t>Hospedagem Vercel (plano free)</t>
        </is>
      </c>
      <c r="B17" s="6" t="n">
        <v>0</v>
      </c>
      <c r="C17" s="6" t="n">
        <v>0</v>
      </c>
      <c r="D17" s="7" t="inlineStr">
        <is>
          <t>Alta</t>
        </is>
      </c>
      <c r="E17" s="5" t="inlineStr">
        <is>
          <t>Lancamento</t>
        </is>
      </c>
      <c r="F17" s="5" t="inlineStr">
        <is>
          <t>Gratuito ate certo volume</t>
        </is>
      </c>
      <c r="G17" s="7" t="inlineStr">
        <is>
          <t>Sim</t>
        </is>
      </c>
      <c r="H17" s="8" t="inlineStr">
        <is>
          <t>Tech</t>
        </is>
      </c>
    </row>
    <row r="18" ht="20" customHeight="1">
      <c r="A18" s="5" t="inlineStr">
        <is>
          <t>Certificado SSL</t>
        </is>
      </c>
      <c r="B18" s="6" t="n">
        <v>0</v>
      </c>
      <c r="C18" s="6" t="n">
        <v>0</v>
      </c>
      <c r="D18" s="7" t="inlineStr">
        <is>
          <t>Alta</t>
        </is>
      </c>
      <c r="E18" s="5" t="inlineStr">
        <is>
          <t>Automatico</t>
        </is>
      </c>
      <c r="F18" s="5" t="inlineStr">
        <is>
          <t>Incluso no Vercel/Cloudflare</t>
        </is>
      </c>
      <c r="G18" s="7" t="inlineStr">
        <is>
          <t>Sim</t>
        </is>
      </c>
      <c r="H18" s="8" t="inlineStr">
        <is>
          <t>Tech</t>
        </is>
      </c>
    </row>
    <row r="19" ht="20" customHeight="1">
      <c r="A19" s="5" t="inlineStr">
        <is>
          <t>Integracao Pagar.me (setup)</t>
        </is>
      </c>
      <c r="B19" s="6" t="n">
        <v>0</v>
      </c>
      <c r="C19" s="6" t="n">
        <v>0</v>
      </c>
      <c r="D19" s="7" t="inlineStr">
        <is>
          <t>Alta</t>
        </is>
      </c>
      <c r="E19" s="5" t="inlineStr">
        <is>
          <t>Fase 2</t>
        </is>
      </c>
      <c r="F19" s="5" t="inlineStr">
        <is>
          <t>Gratuito para abrir conta com CNPJ</t>
        </is>
      </c>
      <c r="G19" s="7" t="inlineStr">
        <is>
          <t>Sim</t>
        </is>
      </c>
      <c r="H19" s="8" t="inlineStr">
        <is>
          <t>Tech</t>
        </is>
      </c>
    </row>
    <row r="20" ht="20" customHeight="1">
      <c r="A20" s="5" t="inlineStr">
        <is>
          <t>Google Analytics setup</t>
        </is>
      </c>
      <c r="B20" s="6" t="n">
        <v>0</v>
      </c>
      <c r="C20" s="6" t="n">
        <v>0</v>
      </c>
      <c r="D20" s="7" t="inlineStr">
        <is>
          <t>Alta</t>
        </is>
      </c>
      <c r="E20" s="5" t="inlineStr">
        <is>
          <t>Lancamento</t>
        </is>
      </c>
      <c r="F20" s="5" t="inlineStr">
        <is>
          <t>Gratuito</t>
        </is>
      </c>
      <c r="G20" s="7" t="inlineStr">
        <is>
          <t>Sim</t>
        </is>
      </c>
      <c r="H20" s="8" t="inlineStr">
        <is>
          <t>Tech</t>
        </is>
      </c>
    </row>
    <row r="21" ht="20" customHeight="1">
      <c r="A21" s="5" t="inlineStr">
        <is>
          <t>Backup e seguranca inicial</t>
        </is>
      </c>
      <c r="B21" s="6" t="n">
        <v>200</v>
      </c>
      <c r="C21" s="6" t="n">
        <v>500</v>
      </c>
      <c r="D21" s="9" t="inlineStr">
        <is>
          <t>Media</t>
        </is>
      </c>
      <c r="E21" s="5" t="inlineStr">
        <is>
          <t>Lancamento</t>
        </is>
      </c>
      <c r="F21" s="5" t="inlineStr">
        <is>
          <t>Configuracao de ambiente seguro</t>
        </is>
      </c>
      <c r="G21" s="10" t="inlineStr">
        <is>
          <t>Nao</t>
        </is>
      </c>
      <c r="H21" s="8" t="inlineStr">
        <is>
          <t>Tech</t>
        </is>
      </c>
    </row>
    <row r="22" ht="24" customHeight="1">
      <c r="A22" s="4" t="inlineStr">
        <is>
          <t xml:space="preserve">  MARCA E MARKETING INICIAL</t>
        </is>
      </c>
    </row>
    <row r="23" ht="20" customHeight="1">
      <c r="A23" s="5" t="inlineStr">
        <is>
          <t>Fotografia profissional (Ana Camila)</t>
        </is>
      </c>
      <c r="B23" s="6" t="n">
        <v>400</v>
      </c>
      <c r="C23" s="6" t="n">
        <v>800</v>
      </c>
      <c r="D23" s="9" t="inlineStr">
        <is>
          <t>Media</t>
        </is>
      </c>
      <c r="E23" s="5" t="inlineStr">
        <is>
          <t>Pre-lancamento</t>
        </is>
      </c>
      <c r="F23" s="5" t="inlineStr">
        <is>
          <t>Para perfil do portal e Instagram</t>
        </is>
      </c>
      <c r="G23" s="10" t="inlineStr">
        <is>
          <t>Nao</t>
        </is>
      </c>
      <c r="H23" s="8" t="inlineStr">
        <is>
          <t>Marketing</t>
        </is>
      </c>
    </row>
    <row r="24" ht="20" customHeight="1">
      <c r="A24" s="5" t="inlineStr">
        <is>
          <t>Identidade visual complementar</t>
        </is>
      </c>
      <c r="B24" s="6" t="n">
        <v>0</v>
      </c>
      <c r="C24" s="6" t="n">
        <v>1500</v>
      </c>
      <c r="D24" s="10" t="inlineStr">
        <is>
          <t>Baixa</t>
        </is>
      </c>
      <c r="E24" s="5" t="inlineStr">
        <is>
          <t>Pre-lancamento</t>
        </is>
      </c>
      <c r="F24" s="5" t="inlineStr">
        <is>
          <t>Logo ja existe. Adaptar para portal se necessario</t>
        </is>
      </c>
      <c r="G24" s="10" t="inlineStr">
        <is>
          <t>Nao</t>
        </is>
      </c>
      <c r="H24" s="8" t="inlineStr">
        <is>
          <t>Marketing</t>
        </is>
      </c>
    </row>
    <row r="25" ht="20" customHeight="1">
      <c r="A25" s="5" t="inlineStr">
        <is>
          <t>Cartoes de visita medicos (100 un)</t>
        </is>
      </c>
      <c r="B25" s="6" t="n">
        <v>80</v>
      </c>
      <c r="C25" s="6" t="n">
        <v>200</v>
      </c>
      <c r="D25" s="10" t="inlineStr">
        <is>
          <t>Baixa</t>
        </is>
      </c>
      <c r="E25" s="5" t="inlineStr">
        <is>
          <t>Pre-lancamento</t>
        </is>
      </c>
      <c r="F25" s="5" t="inlineStr">
        <is>
          <t>Para captacao de medicos parceiros</t>
        </is>
      </c>
      <c r="G25" s="10" t="inlineStr">
        <is>
          <t>Nao</t>
        </is>
      </c>
      <c r="H25" s="8" t="inlineStr">
        <is>
          <t>Marketing</t>
        </is>
      </c>
    </row>
    <row r="26" ht="20" customHeight="1">
      <c r="A26" s="5" t="inlineStr">
        <is>
          <t>Google Ads - verba inicial</t>
        </is>
      </c>
      <c r="B26" s="6" t="n">
        <v>300</v>
      </c>
      <c r="C26" s="6" t="n">
        <v>500</v>
      </c>
      <c r="D26" s="9" t="inlineStr">
        <is>
          <t>Media</t>
        </is>
      </c>
      <c r="E26" s="5" t="inlineStr">
        <is>
          <t>Pos-lancamento</t>
        </is>
      </c>
      <c r="F26" s="5" t="inlineStr">
        <is>
          <t>Para testar aquisicao paga de tutores</t>
        </is>
      </c>
      <c r="G26" s="10" t="inlineStr">
        <is>
          <t>Nao</t>
        </is>
      </c>
      <c r="H26" s="8" t="inlineStr">
        <is>
          <t>Marketing</t>
        </is>
      </c>
    </row>
    <row r="27" ht="20" customHeight="1">
      <c r="A27" s="5" t="inlineStr">
        <is>
          <t>Instagram Ads - verba inicial</t>
        </is>
      </c>
      <c r="B27" s="6" t="n">
        <v>200</v>
      </c>
      <c r="C27" s="6" t="n">
        <v>300</v>
      </c>
      <c r="D27" s="10" t="inlineStr">
        <is>
          <t>Baixa</t>
        </is>
      </c>
      <c r="E27" s="5" t="inlineStr">
        <is>
          <t>Pos-lancamento</t>
        </is>
      </c>
      <c r="F27" s="5" t="inlineStr">
        <is>
          <t>Impulsionamento de posts da Ana Camila</t>
        </is>
      </c>
      <c r="G27" s="10" t="inlineStr">
        <is>
          <t>Nao</t>
        </is>
      </c>
      <c r="H27" s="8" t="inlineStr">
        <is>
          <t>Marketing</t>
        </is>
      </c>
    </row>
    <row r="28" ht="24" customHeight="1">
      <c r="A28" s="4" t="inlineStr">
        <is>
          <t xml:space="preserve">  FINANCEIRO E OPERACIONAL</t>
        </is>
      </c>
    </row>
    <row r="29" ht="20" customHeight="1">
      <c r="A29" s="5" t="inlineStr">
        <is>
          <t>Capital de giro inicial</t>
        </is>
      </c>
      <c r="B29" s="6" t="n">
        <v>2000</v>
      </c>
      <c r="C29" s="6" t="n">
        <v>3000</v>
      </c>
      <c r="D29" s="7" t="inlineStr">
        <is>
          <t>Alta</t>
        </is>
      </c>
      <c r="E29" s="5" t="inlineStr">
        <is>
          <t>Com abertura</t>
        </is>
      </c>
      <c r="F29" s="5" t="inlineStr">
        <is>
          <t>Reserve para 3 meses de custos fixos</t>
        </is>
      </c>
      <c r="G29" s="7" t="inlineStr">
        <is>
          <t>Sim</t>
        </is>
      </c>
      <c r="H29" s="8" t="inlineStr">
        <is>
          <t>Financeiro</t>
        </is>
      </c>
    </row>
    <row r="30" ht="20" customHeight="1">
      <c r="A30" s="5" t="inlineStr">
        <is>
          <t>Conta PJ (Stone/Inter)</t>
        </is>
      </c>
      <c r="B30" s="6" t="n">
        <v>0</v>
      </c>
      <c r="C30" s="6" t="n">
        <v>0</v>
      </c>
      <c r="D30" s="7" t="inlineStr">
        <is>
          <t>Alta</t>
        </is>
      </c>
      <c r="E30" s="5" t="inlineStr">
        <is>
          <t>Com CNPJ</t>
        </is>
      </c>
      <c r="F30" s="5" t="inlineStr">
        <is>
          <t>Gratuita em bancos digitais</t>
        </is>
      </c>
      <c r="G30" s="7" t="inlineStr">
        <is>
          <t>Sim</t>
        </is>
      </c>
      <c r="H30" s="8" t="inlineStr">
        <is>
          <t>Financeiro</t>
        </is>
      </c>
    </row>
    <row r="31" ht="20" customHeight="1">
      <c r="A31" s="5" t="inlineStr">
        <is>
          <t>Conta Pagar.me (abertura)</t>
        </is>
      </c>
      <c r="B31" s="6" t="n">
        <v>0</v>
      </c>
      <c r="C31" s="6" t="n">
        <v>0</v>
      </c>
      <c r="D31" s="7" t="inlineStr">
        <is>
          <t>Alta</t>
        </is>
      </c>
      <c r="E31" s="5" t="inlineStr">
        <is>
          <t>Com CNPJ</t>
        </is>
      </c>
      <c r="F31" s="5" t="inlineStr">
        <is>
          <t>Gratuita</t>
        </is>
      </c>
      <c r="G31" s="7" t="inlineStr">
        <is>
          <t>Sim</t>
        </is>
      </c>
      <c r="H31" s="8" t="inlineStr">
        <is>
          <t>Financeiro</t>
        </is>
      </c>
    </row>
    <row r="32" ht="20" customHeight="1">
      <c r="A32" s="5" t="inlineStr">
        <is>
          <t>Sistema de emissao NFSe Campinas</t>
        </is>
      </c>
      <c r="B32" s="6" t="n">
        <v>0</v>
      </c>
      <c r="C32" s="6" t="n">
        <v>200</v>
      </c>
      <c r="D32" s="9" t="inlineStr">
        <is>
          <t>Media</t>
        </is>
      </c>
      <c r="E32" s="5" t="inlineStr">
        <is>
          <t>1o faturamento</t>
        </is>
      </c>
      <c r="F32" s="5" t="inlineStr">
        <is>
          <t>Prefeitura de Campinas - pode ser gratuito</t>
        </is>
      </c>
      <c r="G32" s="7" t="inlineStr">
        <is>
          <t>Sim</t>
        </is>
      </c>
      <c r="H32" s="8" t="inlineStr">
        <is>
          <t>Financeiro</t>
        </is>
      </c>
    </row>
    <row r="34" ht="24" customHeight="1">
      <c r="A34" s="11" t="inlineStr">
        <is>
          <t xml:space="preserve">  RESUMO DE INVESTIMENTO INICIAL</t>
        </is>
      </c>
    </row>
    <row r="35" ht="22" customHeight="1">
      <c r="A35" s="12" t="inlineStr">
        <is>
          <t>CENARIO MINIMO (obrigatorios)</t>
        </is>
      </c>
      <c r="B35" s="13">
        <f>SUMIF(G5:G50,"Sim",B5:B50)</f>
        <v/>
      </c>
      <c r="C35" s="13">
        <f>SUMIF(G5:G50,"Sim",C5:C50)</f>
        <v/>
      </c>
    </row>
    <row r="36" ht="22" customHeight="1">
      <c r="A36" s="14" t="inlineStr">
        <is>
          <t>CENARIO COMPLETO (todos os itens)</t>
        </is>
      </c>
      <c r="B36" s="15">
        <f>SUM(B5:B50)</f>
        <v/>
      </c>
      <c r="C36" s="15">
        <f>SUM(C5:C50)</f>
        <v/>
      </c>
    </row>
    <row r="37" ht="22" customHeight="1">
      <c r="A37" s="12" t="inlineStr">
        <is>
          <t>RECOMENDADO: reservar (media + 20%)</t>
        </is>
      </c>
      <c r="B37" s="16">
        <f>AVERAGE(B35,C35)*1.2</f>
        <v/>
      </c>
    </row>
    <row r="39" ht="20" customHeight="1">
      <c r="A39" s="2" t="inlineStr">
        <is>
          <t>LEGENDA: Azul = input editavel | Preto = formula | Prioridade Alta = fazer antes de lancar | Capital de giro nao entra no total de implantacao pois e reserva</t>
        </is>
      </c>
    </row>
  </sheetData>
  <mergeCells count="8">
    <mergeCell ref="A12:H12"/>
    <mergeCell ref="A1:H1"/>
    <mergeCell ref="A39:H39"/>
    <mergeCell ref="A2:H2"/>
    <mergeCell ref="A28:H28"/>
    <mergeCell ref="A5:H5"/>
    <mergeCell ref="A22:H2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20" customWidth="1" min="6" max="6"/>
    <col width="20" customWidth="1" min="7" max="7"/>
    <col width="14" customWidth="1" min="8" max="8"/>
  </cols>
  <sheetData>
    <row r="1" ht="36" customHeight="1">
      <c r="A1" s="1" t="inlineStr">
        <is>
          <t>ANIMAGEM — Custos Mensais Recorrentes</t>
        </is>
      </c>
    </row>
    <row r="2" ht="20" customHeight="1">
      <c r="A2" s="2" t="inlineStr">
        <is>
          <t>Fase 1 = MVP (0-6 meses) | Fase 2 = Crescimento (6-18 meses) | Fase 3 = Escala (18+ meses)</t>
        </is>
      </c>
    </row>
    <row r="4" ht="28" customHeight="1">
      <c r="A4" s="3" t="inlineStr">
        <is>
          <t>Item</t>
        </is>
      </c>
      <c r="B4" s="3" t="inlineStr">
        <is>
          <t>Fase 1 (R$/mes)</t>
        </is>
      </c>
      <c r="C4" s="3" t="inlineStr">
        <is>
          <t>Fase 2 (R$/mes)</t>
        </is>
      </c>
      <c r="D4" s="3" t="inlineStr">
        <is>
          <t>Fase 3 (R$/mes)</t>
        </is>
      </c>
      <c r="E4" s="3" t="inlineStr">
        <is>
          <t>Tipo</t>
        </is>
      </c>
      <c r="F4" s="3" t="inlineStr">
        <is>
          <t>Fornecedor</t>
        </is>
      </c>
      <c r="G4" s="3" t="inlineStr">
        <is>
          <t>Observacoes</t>
        </is>
      </c>
      <c r="H4" s="3" t="inlineStr">
        <is>
          <t>Essencial?</t>
        </is>
      </c>
    </row>
    <row r="5" ht="24" customHeight="1">
      <c r="A5" s="4" t="inlineStr">
        <is>
          <t xml:space="preserve">  TECNOLOGIA E INFRAESTRUTURA</t>
        </is>
      </c>
    </row>
    <row r="6" ht="20" customHeight="1">
      <c r="A6" s="5" t="inlineStr">
        <is>
          <t>Supabase (banco de dados)</t>
        </is>
      </c>
      <c r="B6" s="6" t="n">
        <v>0</v>
      </c>
      <c r="C6" s="6" t="n">
        <v>25</v>
      </c>
      <c r="D6" s="6" t="n">
        <v>100</v>
      </c>
      <c r="E6" s="8" t="inlineStr">
        <is>
          <t>Fixo</t>
        </is>
      </c>
      <c r="F6" s="8" t="inlineStr">
        <is>
          <t>Supabase</t>
        </is>
      </c>
      <c r="G6" s="5" t="inlineStr">
        <is>
          <t>Free ate 500MB. Pro: USD5/mes</t>
        </is>
      </c>
      <c r="H6" s="7" t="inlineStr">
        <is>
          <t>Sim</t>
        </is>
      </c>
    </row>
    <row r="7" ht="20" customHeight="1">
      <c r="A7" s="5" t="inlineStr">
        <is>
          <t>Vercel (hospedagem frontend)</t>
        </is>
      </c>
      <c r="B7" s="6" t="n">
        <v>0</v>
      </c>
      <c r="C7" s="6" t="n">
        <v>20</v>
      </c>
      <c r="D7" s="6" t="n">
        <v>80</v>
      </c>
      <c r="E7" s="8" t="inlineStr">
        <is>
          <t>Fixo</t>
        </is>
      </c>
      <c r="F7" s="8" t="inlineStr">
        <is>
          <t>Vercel</t>
        </is>
      </c>
      <c r="G7" s="5" t="inlineStr">
        <is>
          <t>Free ate certo volume. Pro: USD20/mes</t>
        </is>
      </c>
      <c r="H7" s="7" t="inlineStr">
        <is>
          <t>Sim</t>
        </is>
      </c>
    </row>
    <row r="8" ht="20" customHeight="1">
      <c r="A8" s="5" t="inlineStr">
        <is>
          <t>Dominio (.com.br + .com)</t>
        </is>
      </c>
      <c r="B8" s="6" t="n">
        <v>8</v>
      </c>
      <c r="C8" s="6" t="n">
        <v>8</v>
      </c>
      <c r="D8" s="6" t="n">
        <v>8</v>
      </c>
      <c r="E8" s="8" t="inlineStr">
        <is>
          <t>Fixo</t>
        </is>
      </c>
      <c r="F8" s="8" t="inlineStr">
        <is>
          <t>Registro.br</t>
        </is>
      </c>
      <c r="G8" s="5" t="inlineStr">
        <is>
          <t>R$40+80/ano dividido por 12</t>
        </is>
      </c>
      <c r="H8" s="7" t="inlineStr">
        <is>
          <t>Sim</t>
        </is>
      </c>
    </row>
    <row r="9" ht="20" customHeight="1">
      <c r="A9" s="5" t="inlineStr">
        <is>
          <t>Google Workspace</t>
        </is>
      </c>
      <c r="B9" s="6" t="n">
        <v>34</v>
      </c>
      <c r="C9" s="6" t="n">
        <v>68</v>
      </c>
      <c r="D9" s="6" t="n">
        <v>170</v>
      </c>
      <c r="E9" s="8" t="inlineStr">
        <is>
          <t>Fixo</t>
        </is>
      </c>
      <c r="F9" s="8" t="inlineStr">
        <is>
          <t>Google</t>
        </is>
      </c>
      <c r="G9" s="5" t="inlineStr">
        <is>
          <t>R$34/usuario/mes. Fase 2: 2 usuarios. Fase 3: 5</t>
        </is>
      </c>
      <c r="H9" s="7" t="inlineStr">
        <is>
          <t>Sim</t>
        </is>
      </c>
    </row>
    <row r="10" ht="20" customHeight="1">
      <c r="A10" s="5" t="inlineStr">
        <is>
          <t>Google Analytics</t>
        </is>
      </c>
      <c r="B10" s="6" t="n">
        <v>0</v>
      </c>
      <c r="C10" s="6" t="n">
        <v>0</v>
      </c>
      <c r="D10" s="6" t="n">
        <v>0</v>
      </c>
      <c r="E10" s="8" t="inlineStr">
        <is>
          <t>Fixo</t>
        </is>
      </c>
      <c r="F10" s="8" t="inlineStr">
        <is>
          <t>Google</t>
        </is>
      </c>
      <c r="G10" s="5" t="inlineStr">
        <is>
          <t>Gratuito</t>
        </is>
      </c>
      <c r="H10" s="7" t="inlineStr">
        <is>
          <t>Sim</t>
        </is>
      </c>
    </row>
    <row r="11" ht="20" customHeight="1">
      <c r="A11" s="5" t="inlineStr">
        <is>
          <t>Pagar.me (mensalidade)</t>
        </is>
      </c>
      <c r="B11" s="6" t="n">
        <v>0</v>
      </c>
      <c r="C11" s="6" t="n">
        <v>0</v>
      </c>
      <c r="D11" s="6" t="n">
        <v>0</v>
      </c>
      <c r="E11" s="8" t="inlineStr">
        <is>
          <t>Variavel</t>
        </is>
      </c>
      <c r="F11" s="8" t="inlineStr">
        <is>
          <t>Pagar.me</t>
        </is>
      </c>
      <c r="G11" s="5" t="inlineStr">
        <is>
          <t>Sem mensalidade - cobra % por transacao</t>
        </is>
      </c>
      <c r="H11" s="7" t="inlineStr">
        <is>
          <t>Sim</t>
        </is>
      </c>
    </row>
    <row r="12" ht="20" customHeight="1">
      <c r="A12" s="5" t="inlineStr">
        <is>
          <t>CDN / Cloudflare</t>
        </is>
      </c>
      <c r="B12" s="6" t="n">
        <v>0</v>
      </c>
      <c r="C12" s="6" t="n">
        <v>0</v>
      </c>
      <c r="D12" s="6" t="n">
        <v>20</v>
      </c>
      <c r="E12" s="8" t="inlineStr">
        <is>
          <t>Fixo</t>
        </is>
      </c>
      <c r="F12" s="8" t="inlineStr">
        <is>
          <t>Cloudflare</t>
        </is>
      </c>
      <c r="G12" s="5" t="inlineStr">
        <is>
          <t>Gratuito no inicio. Pro se necessario</t>
        </is>
      </c>
      <c r="H12" s="10" t="inlineStr">
        <is>
          <t>Nao</t>
        </is>
      </c>
    </row>
    <row r="13" ht="20" customHeight="1">
      <c r="A13" s="5" t="inlineStr">
        <is>
          <t>Backup automatizado</t>
        </is>
      </c>
      <c r="B13" s="6" t="n">
        <v>0</v>
      </c>
      <c r="C13" s="6" t="n">
        <v>30</v>
      </c>
      <c r="D13" s="6" t="n">
        <v>60</v>
      </c>
      <c r="E13" s="8" t="inlineStr">
        <is>
          <t>Fixo</t>
        </is>
      </c>
      <c r="F13" s="8" t="inlineStr">
        <is>
          <t>AWS S3</t>
        </is>
      </c>
      <c r="G13" s="5" t="inlineStr">
        <is>
          <t>Backup diario banco de dados</t>
        </is>
      </c>
      <c r="H13" s="10" t="inlineStr">
        <is>
          <t>Nao</t>
        </is>
      </c>
    </row>
    <row r="14" ht="20" customHeight="1">
      <c r="A14" s="5" t="inlineStr">
        <is>
          <t>Monitoramento (Sentry/uptime)</t>
        </is>
      </c>
      <c r="B14" s="6" t="n">
        <v>0</v>
      </c>
      <c r="C14" s="6" t="n">
        <v>0</v>
      </c>
      <c r="D14" s="6" t="n">
        <v>30</v>
      </c>
      <c r="E14" s="8" t="inlineStr">
        <is>
          <t>Fixo</t>
        </is>
      </c>
      <c r="F14" s="8" t="inlineStr">
        <is>
          <t>Sentry</t>
        </is>
      </c>
      <c r="G14" s="5" t="inlineStr">
        <is>
          <t>Monitoramento de erros e disponibilidade</t>
        </is>
      </c>
      <c r="H14" s="10" t="inlineStr">
        <is>
          <t>Nao</t>
        </is>
      </c>
    </row>
    <row r="15" ht="24" customHeight="1">
      <c r="A15" s="4" t="inlineStr">
        <is>
          <t xml:space="preserve">  CONTABIL E JURIDICO</t>
        </is>
      </c>
    </row>
    <row r="16" ht="20" customHeight="1">
      <c r="A16" s="5" t="inlineStr">
        <is>
          <t>Contador (Simples Nacional)</t>
        </is>
      </c>
      <c r="B16" s="6" t="n">
        <v>200</v>
      </c>
      <c r="C16" s="6" t="n">
        <v>300</v>
      </c>
      <c r="D16" s="6" t="n">
        <v>500</v>
      </c>
      <c r="E16" s="8" t="inlineStr">
        <is>
          <t>Fixo</t>
        </is>
      </c>
      <c r="F16" s="8" t="inlineStr">
        <is>
          <t>Escritorio contabil</t>
        </is>
      </c>
      <c r="G16" s="5" t="inlineStr">
        <is>
          <t>Inclui folha, DAS, declaracoes</t>
        </is>
      </c>
      <c r="H16" s="7" t="inlineStr">
        <is>
          <t>Sim</t>
        </is>
      </c>
    </row>
    <row r="17" ht="20" customHeight="1">
      <c r="A17" s="5" t="inlineStr">
        <is>
          <t>Imposto DAS (Simples Nacional)</t>
        </is>
      </c>
      <c r="B17" s="6" t="n">
        <v>60</v>
      </c>
      <c r="C17" s="6" t="n">
        <v>300</v>
      </c>
      <c r="D17" s="6" t="n">
        <v>800</v>
      </c>
      <c r="E17" s="8" t="inlineStr">
        <is>
          <t>Variavel</t>
        </is>
      </c>
      <c r="F17" s="8" t="inlineStr">
        <is>
          <t>Receita Federal</t>
        </is>
      </c>
      <c r="G17" s="5" t="inlineStr">
        <is>
          <t>~6% sobre faturamento. Cresce com receita</t>
        </is>
      </c>
      <c r="H17" s="7" t="inlineStr">
        <is>
          <t>Sim</t>
        </is>
      </c>
    </row>
    <row r="18" ht="20" customHeight="1">
      <c r="A18" s="5" t="inlineStr">
        <is>
          <t>INSS pro-labore (eventual)</t>
        </is>
      </c>
      <c r="B18" s="6" t="n">
        <v>0</v>
      </c>
      <c r="C18" s="6" t="n">
        <v>220</v>
      </c>
      <c r="D18" s="6" t="n">
        <v>440</v>
      </c>
      <c r="E18" s="8" t="inlineStr">
        <is>
          <t>Variavel</t>
        </is>
      </c>
      <c r="F18" s="8" t="inlineStr">
        <is>
          <t>Receita Federal</t>
        </is>
      </c>
      <c r="G18" s="5" t="inlineStr">
        <is>
          <t>Quando pagar pro-labore. 11% sobre salario minimo</t>
        </is>
      </c>
      <c r="H18" s="10" t="inlineStr">
        <is>
          <t>Nao</t>
        </is>
      </c>
    </row>
    <row r="19" ht="20" customHeight="1">
      <c r="A19" s="5" t="inlineStr">
        <is>
          <t>Assessoria juridica (mensal)</t>
        </is>
      </c>
      <c r="B19" s="6" t="n">
        <v>0</v>
      </c>
      <c r="C19" s="6" t="n">
        <v>300</v>
      </c>
      <c r="D19" s="6" t="n">
        <v>500</v>
      </c>
      <c r="E19" s="8" t="inlineStr">
        <is>
          <t>Fixo</t>
        </is>
      </c>
      <c r="F19" s="8" t="inlineStr">
        <is>
          <t>Advogado</t>
        </is>
      </c>
      <c r="G19" s="5" t="inlineStr">
        <is>
          <t>Opcional no inicio. Recomendado na escala</t>
        </is>
      </c>
      <c r="H19" s="10" t="inlineStr">
        <is>
          <t>Nao</t>
        </is>
      </c>
    </row>
    <row r="20" ht="24" customHeight="1">
      <c r="A20" s="4" t="inlineStr">
        <is>
          <t xml:space="preserve">  MARKETING E AQUISICAO</t>
        </is>
      </c>
    </row>
    <row r="21" ht="20" customHeight="1">
      <c r="A21" s="5" t="inlineStr">
        <is>
          <t>Google Ads</t>
        </is>
      </c>
      <c r="B21" s="6" t="n">
        <v>0</v>
      </c>
      <c r="C21" s="6" t="n">
        <v>300</v>
      </c>
      <c r="D21" s="6" t="n">
        <v>800</v>
      </c>
      <c r="E21" s="8" t="inlineStr">
        <is>
          <t>Variavel</t>
        </is>
      </c>
      <c r="F21" s="8" t="inlineStr">
        <is>
          <t>Google</t>
        </is>
      </c>
      <c r="G21" s="5" t="inlineStr">
        <is>
          <t>Aquisicao de tutores por busca</t>
        </is>
      </c>
      <c r="H21" s="10" t="inlineStr">
        <is>
          <t>Nao</t>
        </is>
      </c>
    </row>
    <row r="22" ht="20" customHeight="1">
      <c r="A22" s="5" t="inlineStr">
        <is>
          <t>Instagram / Meta Ads</t>
        </is>
      </c>
      <c r="B22" s="6" t="n">
        <v>0</v>
      </c>
      <c r="C22" s="6" t="n">
        <v>200</v>
      </c>
      <c r="D22" s="6" t="n">
        <v>500</v>
      </c>
      <c r="E22" s="8" t="inlineStr">
        <is>
          <t>Variavel</t>
        </is>
      </c>
      <c r="F22" s="8" t="inlineStr">
        <is>
          <t>Meta</t>
        </is>
      </c>
      <c r="G22" s="5" t="inlineStr">
        <is>
          <t>Recomendado quando validar o modelo</t>
        </is>
      </c>
      <c r="H22" s="10" t="inlineStr">
        <is>
          <t>Nao</t>
        </is>
      </c>
    </row>
    <row r="23" ht="20" customHeight="1">
      <c r="A23" s="5" t="inlineStr">
        <is>
          <t>Ferramenta email marketing</t>
        </is>
      </c>
      <c r="B23" s="6" t="n">
        <v>0</v>
      </c>
      <c r="C23" s="6" t="n">
        <v>0</v>
      </c>
      <c r="D23" s="6" t="n">
        <v>50</v>
      </c>
      <c r="E23" s="8" t="inlineStr">
        <is>
          <t>Fixo</t>
        </is>
      </c>
      <c r="F23" s="8" t="inlineStr">
        <is>
          <t>Brevo/Mailchimp</t>
        </is>
      </c>
      <c r="G23" s="5" t="inlineStr">
        <is>
          <t>Comunicacao com tutores e medicos</t>
        </is>
      </c>
      <c r="H23" s="10" t="inlineStr">
        <is>
          <t>Nao</t>
        </is>
      </c>
    </row>
    <row r="24" ht="20" customHeight="1">
      <c r="A24" s="5" t="inlineStr">
        <is>
          <t>SEO / Blog (producao de conteudo)</t>
        </is>
      </c>
      <c r="B24" s="6" t="n">
        <v>0</v>
      </c>
      <c r="C24" s="6" t="n">
        <v>0</v>
      </c>
      <c r="D24" s="6" t="n">
        <v>300</v>
      </c>
      <c r="E24" s="8" t="inlineStr">
        <is>
          <t>Fixo</t>
        </is>
      </c>
      <c r="F24" s="8" t="inlineStr">
        <is>
          <t>Freelancer</t>
        </is>
      </c>
      <c r="G24" s="5" t="inlineStr">
        <is>
          <t>Artigos sobre saude animal</t>
        </is>
      </c>
      <c r="H24" s="10" t="inlineStr">
        <is>
          <t>Nao</t>
        </is>
      </c>
    </row>
    <row r="25" ht="24" customHeight="1">
      <c r="A25" s="4" t="inlineStr">
        <is>
          <t xml:space="preserve">  OPERACIONAL</t>
        </is>
      </c>
    </row>
    <row r="26" ht="20" customHeight="1">
      <c r="A26" s="5" t="inlineStr">
        <is>
          <t>Suporte / atendimento (horas)</t>
        </is>
      </c>
      <c r="B26" s="6" t="n">
        <v>0</v>
      </c>
      <c r="C26" s="6" t="n">
        <v>0</v>
      </c>
      <c r="D26" s="6" t="n">
        <v>500</v>
      </c>
      <c r="E26" s="8" t="inlineStr">
        <is>
          <t>Variavel</t>
        </is>
      </c>
      <c r="F26" s="8" t="inlineStr">
        <is>
          <t>Freelancer</t>
        </is>
      </c>
      <c r="G26" s="5" t="inlineStr">
        <is>
          <t>Quando volume de duvidas aumentar</t>
        </is>
      </c>
      <c r="H26" s="10" t="inlineStr">
        <is>
          <t>Nao</t>
        </is>
      </c>
    </row>
    <row r="27" ht="20" customHeight="1">
      <c r="A27" s="5" t="inlineStr">
        <is>
          <t>Ferramentas de gestao (Notion/Linear)</t>
        </is>
      </c>
      <c r="B27" s="6" t="n">
        <v>0</v>
      </c>
      <c r="C27" s="6" t="n">
        <v>0</v>
      </c>
      <c r="D27" s="6" t="n">
        <v>50</v>
      </c>
      <c r="E27" s="8" t="inlineStr">
        <is>
          <t>Fixo</t>
        </is>
      </c>
      <c r="F27" s="8" t="inlineStr">
        <is>
          <t>Varios</t>
        </is>
      </c>
      <c r="G27" s="5" t="inlineStr">
        <is>
          <t>Gestao de tarefas e produto</t>
        </is>
      </c>
      <c r="H27" s="10" t="inlineStr">
        <is>
          <t>Nao</t>
        </is>
      </c>
    </row>
    <row r="28" ht="20" customHeight="1">
      <c r="A28" s="5" t="inlineStr">
        <is>
          <t>Retirada do administrador (pro-labore)</t>
        </is>
      </c>
      <c r="B28" s="6" t="n">
        <v>0</v>
      </c>
      <c r="C28" s="6" t="n">
        <v>2000</v>
      </c>
      <c r="D28" s="6" t="n">
        <v>5000</v>
      </c>
      <c r="E28" s="8" t="inlineStr">
        <is>
          <t>Fixo</t>
        </is>
      </c>
      <c r="F28" s="8" t="inlineStr">
        <is>
          <t>Animagem</t>
        </is>
      </c>
      <c r="G28" s="5" t="inlineStr">
        <is>
          <t>Comeca quando caixa permitir. Meta: Fase 2</t>
        </is>
      </c>
      <c r="H28" s="10" t="inlineStr">
        <is>
          <t>Nao</t>
        </is>
      </c>
    </row>
    <row r="30" ht="24" customHeight="1">
      <c r="A30" s="11" t="inlineStr">
        <is>
          <t xml:space="preserve">  TOTAL DE CUSTOS POR FASE</t>
        </is>
      </c>
    </row>
    <row r="31" ht="22" customHeight="1">
      <c r="A31" s="12" t="inlineStr">
        <is>
          <t>TOTAL ESSENCIAIS (Sim)</t>
        </is>
      </c>
      <c r="B31" s="13">
        <f>SUMIF(H5:H29,"Sim",B5:B29)</f>
        <v/>
      </c>
      <c r="C31" s="13">
        <f>SUMIF(H5:H29,"Sim",C5:C29)</f>
        <v/>
      </c>
      <c r="D31" s="13">
        <f>SUMIF(H5:H29,"Sim",D5:D29)</f>
        <v/>
      </c>
    </row>
    <row r="32" ht="22" customHeight="1">
      <c r="A32" s="14" t="inlineStr">
        <is>
          <t>TOTAL COMPLETO (todos os itens)</t>
        </is>
      </c>
      <c r="B32" s="15">
        <f>SUM(B5:B30)</f>
        <v/>
      </c>
      <c r="C32" s="15">
        <f>SUM(C5:C30)</f>
        <v/>
      </c>
      <c r="D32" s="15">
        <f>SUM(D5:D30)</f>
        <v/>
      </c>
    </row>
    <row r="34" ht="20" customHeight="1">
      <c r="A34" s="2" t="inlineStr">
        <is>
          <t>OBS: DAS e calculado sobre receita — o valor da Fase 1 assume faturamento minimo de R$1.000/mes. Ajuste conforme projecao de receita.</t>
        </is>
      </c>
    </row>
  </sheetData>
  <mergeCells count="8">
    <mergeCell ref="A1:H1"/>
    <mergeCell ref="A30:H30"/>
    <mergeCell ref="A15:H15"/>
    <mergeCell ref="A25:H25"/>
    <mergeCell ref="A20:H20"/>
    <mergeCell ref="A2:H2"/>
    <mergeCell ref="A5:H5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36" customHeight="1">
      <c r="A1" s="1" t="inlineStr">
        <is>
          <t>ANIMAGEM — Plano Financeiro 24 Meses (DRE Simplificado)</t>
        </is>
      </c>
    </row>
    <row r="2" ht="20" customHeight="1">
      <c r="A2" s="2" t="inlineStr">
        <is>
          <t>Premissas em azul sao editaveis. Cenario base conservador — ajuste conforme sua realidade.</t>
        </is>
      </c>
    </row>
    <row r="4" ht="24" customHeight="1">
      <c r="A4" s="17" t="inlineStr">
        <is>
          <t>INDICADOR / MES</t>
        </is>
      </c>
      <c r="B4" s="18" t="inlineStr">
        <is>
          <t>M01</t>
        </is>
      </c>
      <c r="C4" s="18" t="inlineStr">
        <is>
          <t>M02</t>
        </is>
      </c>
      <c r="D4" s="18" t="inlineStr">
        <is>
          <t>M03</t>
        </is>
      </c>
      <c r="E4" s="18" t="inlineStr">
        <is>
          <t>M04</t>
        </is>
      </c>
      <c r="F4" s="18" t="inlineStr">
        <is>
          <t>M05</t>
        </is>
      </c>
      <c r="G4" s="18" t="inlineStr">
        <is>
          <t>M06</t>
        </is>
      </c>
      <c r="H4" s="18" t="inlineStr">
        <is>
          <t>M07</t>
        </is>
      </c>
      <c r="I4" s="18" t="inlineStr">
        <is>
          <t>M08</t>
        </is>
      </c>
      <c r="J4" s="18" t="inlineStr">
        <is>
          <t>M09</t>
        </is>
      </c>
      <c r="K4" s="18" t="inlineStr">
        <is>
          <t>M10</t>
        </is>
      </c>
      <c r="L4" s="18" t="inlineStr">
        <is>
          <t>M11</t>
        </is>
      </c>
      <c r="M4" s="18" t="inlineStr">
        <is>
          <t>M12</t>
        </is>
      </c>
      <c r="N4" s="18" t="inlineStr">
        <is>
          <t>M13</t>
        </is>
      </c>
      <c r="O4" s="18" t="inlineStr">
        <is>
          <t>M14</t>
        </is>
      </c>
      <c r="P4" s="18" t="inlineStr">
        <is>
          <t>M15</t>
        </is>
      </c>
      <c r="Q4" s="18" t="inlineStr">
        <is>
          <t>M16</t>
        </is>
      </c>
      <c r="R4" s="18" t="inlineStr">
        <is>
          <t>M17</t>
        </is>
      </c>
      <c r="S4" s="18" t="inlineStr">
        <is>
          <t>M18</t>
        </is>
      </c>
      <c r="T4" s="18" t="inlineStr">
        <is>
          <t>M19</t>
        </is>
      </c>
      <c r="U4" s="18" t="inlineStr">
        <is>
          <t>M20</t>
        </is>
      </c>
      <c r="V4" s="18" t="inlineStr">
        <is>
          <t>M21</t>
        </is>
      </c>
      <c r="W4" s="18" t="inlineStr">
        <is>
          <t>M22</t>
        </is>
      </c>
      <c r="X4" s="18" t="inlineStr">
        <is>
          <t>M23</t>
        </is>
      </c>
      <c r="Y4" s="18" t="inlineStr">
        <is>
          <t>M24</t>
        </is>
      </c>
    </row>
    <row r="5" ht="18" customHeight="1">
      <c r="A5" s="19" t="inlineStr">
        <is>
          <t>FASE</t>
        </is>
      </c>
      <c r="B5" s="20" t="inlineStr">
        <is>
          <t>MVP</t>
        </is>
      </c>
      <c r="C5" s="20" t="inlineStr">
        <is>
          <t>MVP</t>
        </is>
      </c>
      <c r="D5" s="20" t="inlineStr">
        <is>
          <t>MVP</t>
        </is>
      </c>
      <c r="E5" s="20" t="inlineStr">
        <is>
          <t>MVP</t>
        </is>
      </c>
      <c r="F5" s="20" t="inlineStr">
        <is>
          <t>MVP</t>
        </is>
      </c>
      <c r="G5" s="20" t="inlineStr">
        <is>
          <t>MVP</t>
        </is>
      </c>
      <c r="H5" s="21" t="inlineStr">
        <is>
          <t>Crescimento</t>
        </is>
      </c>
      <c r="I5" s="21" t="inlineStr">
        <is>
          <t>Crescimento</t>
        </is>
      </c>
      <c r="J5" s="21" t="inlineStr">
        <is>
          <t>Crescimento</t>
        </is>
      </c>
      <c r="K5" s="21" t="inlineStr">
        <is>
          <t>Crescimento</t>
        </is>
      </c>
      <c r="L5" s="21" t="inlineStr">
        <is>
          <t>Crescimento</t>
        </is>
      </c>
      <c r="M5" s="21" t="inlineStr">
        <is>
          <t>Crescimento</t>
        </is>
      </c>
      <c r="N5" s="21" t="inlineStr">
        <is>
          <t>Crescimento</t>
        </is>
      </c>
      <c r="O5" s="21" t="inlineStr">
        <is>
          <t>Crescimento</t>
        </is>
      </c>
      <c r="P5" s="21" t="inlineStr">
        <is>
          <t>Crescimento</t>
        </is>
      </c>
      <c r="Q5" s="21" t="inlineStr">
        <is>
          <t>Crescimento</t>
        </is>
      </c>
      <c r="R5" s="21" t="inlineStr">
        <is>
          <t>Crescimento</t>
        </is>
      </c>
      <c r="S5" s="21" t="inlineStr">
        <is>
          <t>Crescimento</t>
        </is>
      </c>
      <c r="T5" s="22" t="inlineStr">
        <is>
          <t>Escala</t>
        </is>
      </c>
      <c r="U5" s="22" t="inlineStr">
        <is>
          <t>Escala</t>
        </is>
      </c>
      <c r="V5" s="22" t="inlineStr">
        <is>
          <t>Escala</t>
        </is>
      </c>
      <c r="W5" s="22" t="inlineStr">
        <is>
          <t>Escala</t>
        </is>
      </c>
      <c r="X5" s="22" t="inlineStr">
        <is>
          <t>Escala</t>
        </is>
      </c>
      <c r="Y5" s="22" t="inlineStr">
        <is>
          <t>Escala</t>
        </is>
      </c>
    </row>
    <row r="6" ht="24" customHeight="1">
      <c r="A6" s="4" t="inlineStr">
        <is>
          <t xml:space="preserve">  PREMISSAS DE RECEITA (editaveis — valores em azul)</t>
        </is>
      </c>
    </row>
    <row r="7" ht="20" customHeight="1">
      <c r="A7" s="23" t="inlineStr">
        <is>
          <t>Medicos ativos no portal</t>
        </is>
      </c>
      <c r="B7" s="24" t="n">
        <v>1</v>
      </c>
      <c r="C7" s="24" t="n">
        <v>1</v>
      </c>
      <c r="D7" s="24" t="n">
        <v>2</v>
      </c>
      <c r="E7" s="24" t="n">
        <v>2</v>
      </c>
      <c r="F7" s="24" t="n">
        <v>3</v>
      </c>
      <c r="G7" s="24" t="n">
        <v>3</v>
      </c>
      <c r="H7" s="24" t="n">
        <v>4</v>
      </c>
      <c r="I7" s="24" t="n">
        <v>5</v>
      </c>
      <c r="J7" s="24" t="n">
        <v>6</v>
      </c>
      <c r="K7" s="24" t="n">
        <v>7</v>
      </c>
      <c r="L7" s="24" t="n">
        <v>8</v>
      </c>
      <c r="M7" s="24" t="n">
        <v>9</v>
      </c>
      <c r="N7" s="24" t="n">
        <v>10</v>
      </c>
      <c r="O7" s="24" t="n">
        <v>11</v>
      </c>
      <c r="P7" s="24" t="n">
        <v>12</v>
      </c>
      <c r="Q7" s="24" t="n">
        <v>13</v>
      </c>
      <c r="R7" s="24" t="n">
        <v>14</v>
      </c>
      <c r="S7" s="24" t="n">
        <v>15</v>
      </c>
      <c r="T7" s="24" t="n">
        <v>16</v>
      </c>
      <c r="U7" s="24" t="n">
        <v>17</v>
      </c>
      <c r="V7" s="24" t="n">
        <v>18</v>
      </c>
      <c r="W7" s="24" t="n">
        <v>19</v>
      </c>
      <c r="X7" s="24" t="n">
        <v>20</v>
      </c>
      <c r="Y7" s="24" t="n">
        <v>22</v>
      </c>
    </row>
    <row r="8" ht="20" customHeight="1">
      <c r="A8" s="23" t="inlineStr">
        <is>
          <t>Agend./medico/mes (media)</t>
        </is>
      </c>
      <c r="B8" s="24" t="n">
        <v>4</v>
      </c>
      <c r="C8" s="24" t="n">
        <v>5</v>
      </c>
      <c r="D8" s="24" t="n">
        <v>5</v>
      </c>
      <c r="E8" s="24" t="n">
        <v>6</v>
      </c>
      <c r="F8" s="24" t="n">
        <v>6</v>
      </c>
      <c r="G8" s="24" t="n">
        <v>7</v>
      </c>
      <c r="H8" s="24" t="n">
        <v>8</v>
      </c>
      <c r="I8" s="24" t="n">
        <v>8</v>
      </c>
      <c r="J8" s="24" t="n">
        <v>9</v>
      </c>
      <c r="K8" s="24" t="n">
        <v>10</v>
      </c>
      <c r="L8" s="24" t="n">
        <v>10</v>
      </c>
      <c r="M8" s="24" t="n">
        <v>11</v>
      </c>
      <c r="N8" s="24" t="n">
        <v>12</v>
      </c>
      <c r="O8" s="24" t="n">
        <v>12</v>
      </c>
      <c r="P8" s="24" t="n">
        <v>13</v>
      </c>
      <c r="Q8" s="24" t="n">
        <v>13</v>
      </c>
      <c r="R8" s="24" t="n">
        <v>14</v>
      </c>
      <c r="S8" s="24" t="n">
        <v>14</v>
      </c>
      <c r="T8" s="24" t="n">
        <v>15</v>
      </c>
      <c r="U8" s="24" t="n">
        <v>15</v>
      </c>
      <c r="V8" s="24" t="n">
        <v>16</v>
      </c>
      <c r="W8" s="24" t="n">
        <v>16</v>
      </c>
      <c r="X8" s="24" t="n">
        <v>17</v>
      </c>
      <c r="Y8" s="24" t="n">
        <v>18</v>
      </c>
    </row>
    <row r="9" ht="20" customHeight="1">
      <c r="A9" s="23" t="inlineStr">
        <is>
          <t>Ticket medio por exame (R$)</t>
        </is>
      </c>
      <c r="B9" s="24" t="n">
        <v>180</v>
      </c>
      <c r="C9" s="24" t="n">
        <v>180</v>
      </c>
      <c r="D9" s="24" t="n">
        <v>180</v>
      </c>
      <c r="E9" s="24" t="n">
        <v>180</v>
      </c>
      <c r="F9" s="24" t="n">
        <v>180</v>
      </c>
      <c r="G9" s="24" t="n">
        <v>180</v>
      </c>
      <c r="H9" s="24" t="n">
        <v>190</v>
      </c>
      <c r="I9" s="24" t="n">
        <v>190</v>
      </c>
      <c r="J9" s="24" t="n">
        <v>190</v>
      </c>
      <c r="K9" s="24" t="n">
        <v>190</v>
      </c>
      <c r="L9" s="24" t="n">
        <v>190</v>
      </c>
      <c r="M9" s="24" t="n">
        <v>190</v>
      </c>
      <c r="N9" s="24" t="n">
        <v>195</v>
      </c>
      <c r="O9" s="24" t="n">
        <v>195</v>
      </c>
      <c r="P9" s="24" t="n">
        <v>195</v>
      </c>
      <c r="Q9" s="24" t="n">
        <v>195</v>
      </c>
      <c r="R9" s="24" t="n">
        <v>195</v>
      </c>
      <c r="S9" s="24" t="n">
        <v>195</v>
      </c>
      <c r="T9" s="24" t="n">
        <v>200</v>
      </c>
      <c r="U9" s="24" t="n">
        <v>200</v>
      </c>
      <c r="V9" s="24" t="n">
        <v>200</v>
      </c>
      <c r="W9" s="24" t="n">
        <v>200</v>
      </c>
      <c r="X9" s="24" t="n">
        <v>200</v>
      </c>
      <c r="Y9" s="24" t="n">
        <v>200</v>
      </c>
    </row>
    <row r="10" ht="20" customHeight="1">
      <c r="A10" s="23" t="inlineStr">
        <is>
          <t>Comissao Animagem (%)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6" t="n">
        <v>0.08</v>
      </c>
      <c r="I10" s="25" t="n">
        <v>0.08</v>
      </c>
      <c r="J10" s="25" t="n">
        <v>0.08</v>
      </c>
      <c r="K10" s="25" t="n">
        <v>0.08</v>
      </c>
      <c r="L10" s="25" t="n">
        <v>0.08</v>
      </c>
      <c r="M10" s="25" t="n">
        <v>0.08</v>
      </c>
      <c r="N10" s="25" t="n">
        <v>0.1</v>
      </c>
      <c r="O10" s="25" t="n">
        <v>0.1</v>
      </c>
      <c r="P10" s="25" t="n">
        <v>0.1</v>
      </c>
      <c r="Q10" s="25" t="n">
        <v>0.1</v>
      </c>
      <c r="R10" s="25" t="n">
        <v>0.1</v>
      </c>
      <c r="S10" s="25" t="n">
        <v>0.1</v>
      </c>
      <c r="T10" s="25" t="n">
        <v>0.12</v>
      </c>
      <c r="U10" s="25" t="n">
        <v>0.12</v>
      </c>
      <c r="V10" s="25" t="n">
        <v>0.12</v>
      </c>
      <c r="W10" s="25" t="n">
        <v>0.12</v>
      </c>
      <c r="X10" s="25" t="n">
        <v>0.12</v>
      </c>
      <c r="Y10" s="25" t="n">
        <v>0.12</v>
      </c>
    </row>
    <row r="11" ht="24" customHeight="1">
      <c r="A11" s="27" t="inlineStr">
        <is>
          <t xml:space="preserve">  RECEITA</t>
        </is>
      </c>
    </row>
    <row r="12" ht="20" customHeight="1">
      <c r="A12" s="12" t="inlineStr">
        <is>
          <t>Total de agendamentos</t>
        </is>
      </c>
      <c r="B12" s="28">
        <f>B7*B8</f>
        <v/>
      </c>
      <c r="C12" s="28">
        <f>C7*C8</f>
        <v/>
      </c>
      <c r="D12" s="28">
        <f>D7*D8</f>
        <v/>
      </c>
      <c r="E12" s="28">
        <f>E7*E8</f>
        <v/>
      </c>
      <c r="F12" s="28">
        <f>F7*F8</f>
        <v/>
      </c>
      <c r="G12" s="28">
        <f>G7*G8</f>
        <v/>
      </c>
      <c r="H12" s="28">
        <f>H7*H8</f>
        <v/>
      </c>
      <c r="I12" s="28">
        <f>I7*I8</f>
        <v/>
      </c>
      <c r="J12" s="28">
        <f>J7*J8</f>
        <v/>
      </c>
      <c r="K12" s="28">
        <f>K7*K8</f>
        <v/>
      </c>
      <c r="L12" s="28">
        <f>L7*L8</f>
        <v/>
      </c>
      <c r="M12" s="28">
        <f>M7*M8</f>
        <v/>
      </c>
      <c r="N12" s="28">
        <f>N7*N8</f>
        <v/>
      </c>
      <c r="O12" s="28">
        <f>O7*O8</f>
        <v/>
      </c>
      <c r="P12" s="28">
        <f>P7*P8</f>
        <v/>
      </c>
      <c r="Q12" s="28">
        <f>Q7*Q8</f>
        <v/>
      </c>
      <c r="R12" s="28">
        <f>R7*R8</f>
        <v/>
      </c>
      <c r="S12" s="28">
        <f>S7*S8</f>
        <v/>
      </c>
      <c r="T12" s="28">
        <f>T7*T8</f>
        <v/>
      </c>
      <c r="U12" s="28">
        <f>U7*U8</f>
        <v/>
      </c>
      <c r="V12" s="28">
        <f>V7*V8</f>
        <v/>
      </c>
      <c r="W12" s="28">
        <f>W7*W8</f>
        <v/>
      </c>
      <c r="X12" s="28">
        <f>X7*X8</f>
        <v/>
      </c>
      <c r="Y12" s="28">
        <f>Y7*Y8</f>
        <v/>
      </c>
    </row>
    <row r="13" ht="20" customHeight="1">
      <c r="A13" s="12" t="inlineStr">
        <is>
          <t>Volume bruto de exames (R$)</t>
        </is>
      </c>
      <c r="B13" s="29">
        <f>B12*B9</f>
        <v/>
      </c>
      <c r="C13" s="29">
        <f>C12*C9</f>
        <v/>
      </c>
      <c r="D13" s="29">
        <f>D12*D9</f>
        <v/>
      </c>
      <c r="E13" s="29">
        <f>E12*E9</f>
        <v/>
      </c>
      <c r="F13" s="29">
        <f>F12*F9</f>
        <v/>
      </c>
      <c r="G13" s="29">
        <f>G12*G9</f>
        <v/>
      </c>
      <c r="H13" s="29">
        <f>H12*H9</f>
        <v/>
      </c>
      <c r="I13" s="29">
        <f>I12*I9</f>
        <v/>
      </c>
      <c r="J13" s="29">
        <f>J12*J9</f>
        <v/>
      </c>
      <c r="K13" s="29">
        <f>K12*K9</f>
        <v/>
      </c>
      <c r="L13" s="29">
        <f>L12*L9</f>
        <v/>
      </c>
      <c r="M13" s="29">
        <f>M12*M9</f>
        <v/>
      </c>
      <c r="N13" s="29">
        <f>N12*N9</f>
        <v/>
      </c>
      <c r="O13" s="29">
        <f>O12*O9</f>
        <v/>
      </c>
      <c r="P13" s="29">
        <f>P12*P9</f>
        <v/>
      </c>
      <c r="Q13" s="29">
        <f>Q12*Q9</f>
        <v/>
      </c>
      <c r="R13" s="29">
        <f>R12*R9</f>
        <v/>
      </c>
      <c r="S13" s="29">
        <f>S12*S9</f>
        <v/>
      </c>
      <c r="T13" s="29">
        <f>T12*T9</f>
        <v/>
      </c>
      <c r="U13" s="29">
        <f>U12*U9</f>
        <v/>
      </c>
      <c r="V13" s="29">
        <f>V12*V9</f>
        <v/>
      </c>
      <c r="W13" s="29">
        <f>W12*W9</f>
        <v/>
      </c>
      <c r="X13" s="29">
        <f>X12*X9</f>
        <v/>
      </c>
      <c r="Y13" s="29">
        <f>Y12*Y9</f>
        <v/>
      </c>
    </row>
    <row r="14" ht="22" customHeight="1">
      <c r="A14" s="30" t="inlineStr">
        <is>
          <t>RECEITA ANIMAGEM (comissao)</t>
        </is>
      </c>
      <c r="B14" s="31">
        <f>B13*B10</f>
        <v/>
      </c>
      <c r="C14" s="31">
        <f>C13*C10</f>
        <v/>
      </c>
      <c r="D14" s="31">
        <f>D13*D10</f>
        <v/>
      </c>
      <c r="E14" s="31">
        <f>E13*E10</f>
        <v/>
      </c>
      <c r="F14" s="31">
        <f>F13*F10</f>
        <v/>
      </c>
      <c r="G14" s="31">
        <f>G13*G10</f>
        <v/>
      </c>
      <c r="H14" s="31">
        <f>H13*H10</f>
        <v/>
      </c>
      <c r="I14" s="31">
        <f>I13*I10</f>
        <v/>
      </c>
      <c r="J14" s="31">
        <f>J13*J10</f>
        <v/>
      </c>
      <c r="K14" s="31">
        <f>K13*K10</f>
        <v/>
      </c>
      <c r="L14" s="31">
        <f>L13*L10</f>
        <v/>
      </c>
      <c r="M14" s="31">
        <f>M13*M10</f>
        <v/>
      </c>
      <c r="N14" s="31">
        <f>N13*N10</f>
        <v/>
      </c>
      <c r="O14" s="31">
        <f>O13*O10</f>
        <v/>
      </c>
      <c r="P14" s="31">
        <f>P13*P10</f>
        <v/>
      </c>
      <c r="Q14" s="31">
        <f>Q13*Q10</f>
        <v/>
      </c>
      <c r="R14" s="31">
        <f>R13*R10</f>
        <v/>
      </c>
      <c r="S14" s="31">
        <f>S13*S10</f>
        <v/>
      </c>
      <c r="T14" s="31">
        <f>T13*T10</f>
        <v/>
      </c>
      <c r="U14" s="31">
        <f>U13*U10</f>
        <v/>
      </c>
      <c r="V14" s="31">
        <f>V13*V10</f>
        <v/>
      </c>
      <c r="W14" s="31">
        <f>W13*W10</f>
        <v/>
      </c>
      <c r="X14" s="31">
        <f>X13*X10</f>
        <v/>
      </c>
      <c r="Y14" s="31">
        <f>Y13*Y10</f>
        <v/>
      </c>
    </row>
    <row r="15" ht="24" customHeight="1">
      <c r="A15" s="27" t="inlineStr">
        <is>
          <t xml:space="preserve">  CUSTOS MENSAIS</t>
        </is>
      </c>
    </row>
    <row r="16" ht="20" customHeight="1">
      <c r="A16" s="32" t="inlineStr">
        <is>
          <t>Contador + impostos fixos</t>
        </is>
      </c>
      <c r="B16" s="6" t="n">
        <v>260</v>
      </c>
      <c r="C16" s="6" t="n">
        <v>260</v>
      </c>
      <c r="D16" s="6" t="n">
        <v>260</v>
      </c>
      <c r="E16" s="6" t="n">
        <v>260</v>
      </c>
      <c r="F16" s="6" t="n">
        <v>260</v>
      </c>
      <c r="G16" s="6" t="n">
        <v>260</v>
      </c>
      <c r="H16" s="6" t="n">
        <v>500</v>
      </c>
      <c r="I16" s="6" t="n">
        <v>500</v>
      </c>
      <c r="J16" s="6" t="n">
        <v>500</v>
      </c>
      <c r="K16" s="6" t="n">
        <v>500</v>
      </c>
      <c r="L16" s="6" t="n">
        <v>500</v>
      </c>
      <c r="M16" s="6" t="n">
        <v>500</v>
      </c>
      <c r="N16" s="6" t="n">
        <v>700</v>
      </c>
      <c r="O16" s="6" t="n">
        <v>700</v>
      </c>
      <c r="P16" s="6" t="n">
        <v>700</v>
      </c>
      <c r="Q16" s="6" t="n">
        <v>700</v>
      </c>
      <c r="R16" s="6" t="n">
        <v>700</v>
      </c>
      <c r="S16" s="6" t="n">
        <v>700</v>
      </c>
      <c r="T16" s="6" t="n">
        <v>700</v>
      </c>
      <c r="U16" s="6" t="n">
        <v>700</v>
      </c>
      <c r="V16" s="6" t="n">
        <v>700</v>
      </c>
      <c r="W16" s="6" t="n">
        <v>700</v>
      </c>
      <c r="X16" s="6" t="n">
        <v>700</v>
      </c>
      <c r="Y16" s="6" t="n">
        <v>700</v>
      </c>
    </row>
    <row r="17" ht="20" customHeight="1">
      <c r="A17" s="32" t="inlineStr">
        <is>
          <t>Tech (Supabase/Vercel/Google)</t>
        </is>
      </c>
      <c r="B17" s="6" t="n">
        <v>42</v>
      </c>
      <c r="C17" s="6" t="n">
        <v>42</v>
      </c>
      <c r="D17" s="6" t="n">
        <v>42</v>
      </c>
      <c r="E17" s="6" t="n">
        <v>42</v>
      </c>
      <c r="F17" s="6" t="n">
        <v>42</v>
      </c>
      <c r="G17" s="6" t="n">
        <v>42</v>
      </c>
      <c r="H17" s="6" t="n">
        <v>113</v>
      </c>
      <c r="I17" s="6" t="n">
        <v>113</v>
      </c>
      <c r="J17" s="6" t="n">
        <v>113</v>
      </c>
      <c r="K17" s="6" t="n">
        <v>113</v>
      </c>
      <c r="L17" s="6" t="n">
        <v>113</v>
      </c>
      <c r="M17" s="6" t="n">
        <v>113</v>
      </c>
      <c r="N17" s="6" t="n">
        <v>380</v>
      </c>
      <c r="O17" s="6" t="n">
        <v>380</v>
      </c>
      <c r="P17" s="6" t="n">
        <v>380</v>
      </c>
      <c r="Q17" s="6" t="n">
        <v>380</v>
      </c>
      <c r="R17" s="6" t="n">
        <v>380</v>
      </c>
      <c r="S17" s="6" t="n">
        <v>380</v>
      </c>
      <c r="T17" s="6" t="n">
        <v>380</v>
      </c>
      <c r="U17" s="6" t="n">
        <v>380</v>
      </c>
      <c r="V17" s="6" t="n">
        <v>380</v>
      </c>
      <c r="W17" s="6" t="n">
        <v>380</v>
      </c>
      <c r="X17" s="6" t="n">
        <v>380</v>
      </c>
      <c r="Y17" s="6" t="n">
        <v>380</v>
      </c>
    </row>
    <row r="18" ht="20" customHeight="1">
      <c r="A18" s="32" t="inlineStr">
        <is>
          <t>Dominio</t>
        </is>
      </c>
      <c r="B18" s="6" t="n">
        <v>8</v>
      </c>
      <c r="C18" s="6" t="n">
        <v>8</v>
      </c>
      <c r="D18" s="6" t="n">
        <v>8</v>
      </c>
      <c r="E18" s="6" t="n">
        <v>8</v>
      </c>
      <c r="F18" s="6" t="n">
        <v>8</v>
      </c>
      <c r="G18" s="6" t="n">
        <v>8</v>
      </c>
      <c r="H18" s="6" t="n">
        <v>8</v>
      </c>
      <c r="I18" s="6" t="n">
        <v>8</v>
      </c>
      <c r="J18" s="6" t="n">
        <v>8</v>
      </c>
      <c r="K18" s="6" t="n">
        <v>8</v>
      </c>
      <c r="L18" s="6" t="n">
        <v>8</v>
      </c>
      <c r="M18" s="6" t="n">
        <v>8</v>
      </c>
      <c r="N18" s="6" t="n">
        <v>8</v>
      </c>
      <c r="O18" s="6" t="n">
        <v>8</v>
      </c>
      <c r="P18" s="6" t="n">
        <v>8</v>
      </c>
      <c r="Q18" s="6" t="n">
        <v>8</v>
      </c>
      <c r="R18" s="6" t="n">
        <v>8</v>
      </c>
      <c r="S18" s="6" t="n">
        <v>8</v>
      </c>
      <c r="T18" s="6" t="n">
        <v>8</v>
      </c>
      <c r="U18" s="6" t="n">
        <v>8</v>
      </c>
      <c r="V18" s="6" t="n">
        <v>8</v>
      </c>
      <c r="W18" s="6" t="n">
        <v>8</v>
      </c>
      <c r="X18" s="6" t="n">
        <v>8</v>
      </c>
      <c r="Y18" s="6" t="n">
        <v>8</v>
      </c>
    </row>
    <row r="19" ht="20" customHeight="1">
      <c r="A19" s="32" t="inlineStr">
        <is>
          <t>Marketing digital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500</v>
      </c>
      <c r="I19" s="6" t="n">
        <v>500</v>
      </c>
      <c r="J19" s="6" t="n">
        <v>500</v>
      </c>
      <c r="K19" s="6" t="n">
        <v>500</v>
      </c>
      <c r="L19" s="6" t="n">
        <v>500</v>
      </c>
      <c r="M19" s="6" t="n">
        <v>500</v>
      </c>
      <c r="N19" s="6" t="n">
        <v>1300</v>
      </c>
      <c r="O19" s="6" t="n">
        <v>1300</v>
      </c>
      <c r="P19" s="6" t="n">
        <v>1300</v>
      </c>
      <c r="Q19" s="6" t="n">
        <v>1300</v>
      </c>
      <c r="R19" s="6" t="n">
        <v>1300</v>
      </c>
      <c r="S19" s="6" t="n">
        <v>1300</v>
      </c>
      <c r="T19" s="6" t="n">
        <v>1300</v>
      </c>
      <c r="U19" s="6" t="n">
        <v>1300</v>
      </c>
      <c r="V19" s="6" t="n">
        <v>1300</v>
      </c>
      <c r="W19" s="6" t="n">
        <v>1300</v>
      </c>
      <c r="X19" s="6" t="n">
        <v>1300</v>
      </c>
      <c r="Y19" s="6" t="n">
        <v>1300</v>
      </c>
    </row>
    <row r="20" ht="20" customHeight="1">
      <c r="A20" s="32" t="inlineStr">
        <is>
          <t>Operacional / outros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550</v>
      </c>
      <c r="O20" s="6" t="n">
        <v>550</v>
      </c>
      <c r="P20" s="6" t="n">
        <v>550</v>
      </c>
      <c r="Q20" s="6" t="n">
        <v>550</v>
      </c>
      <c r="R20" s="6" t="n">
        <v>550</v>
      </c>
      <c r="S20" s="6" t="n">
        <v>550</v>
      </c>
      <c r="T20" s="6" t="n">
        <v>550</v>
      </c>
      <c r="U20" s="6" t="n">
        <v>550</v>
      </c>
      <c r="V20" s="6" t="n">
        <v>550</v>
      </c>
      <c r="W20" s="6" t="n">
        <v>550</v>
      </c>
      <c r="X20" s="6" t="n">
        <v>550</v>
      </c>
      <c r="Y20" s="6" t="n">
        <v>550</v>
      </c>
    </row>
    <row r="21" ht="20" customHeight="1">
      <c r="A21" s="32" t="inlineStr">
        <is>
          <t>DAS Simples Nacional (~6% receita)</t>
        </is>
      </c>
      <c r="B21" s="33">
        <f>B14*0.06</f>
        <v/>
      </c>
      <c r="C21" s="33">
        <f>C14*0.06</f>
        <v/>
      </c>
      <c r="D21" s="33">
        <f>D14*0.06</f>
        <v/>
      </c>
      <c r="E21" s="33">
        <f>E14*0.06</f>
        <v/>
      </c>
      <c r="F21" s="33">
        <f>F14*0.06</f>
        <v/>
      </c>
      <c r="G21" s="33">
        <f>G14*0.06</f>
        <v/>
      </c>
      <c r="H21" s="33">
        <f>H14*0.06</f>
        <v/>
      </c>
      <c r="I21" s="33">
        <f>I14*0.06</f>
        <v/>
      </c>
      <c r="J21" s="33">
        <f>J14*0.06</f>
        <v/>
      </c>
      <c r="K21" s="33">
        <f>K14*0.06</f>
        <v/>
      </c>
      <c r="L21" s="33">
        <f>L14*0.06</f>
        <v/>
      </c>
      <c r="M21" s="33">
        <f>M14*0.06</f>
        <v/>
      </c>
      <c r="N21" s="33">
        <f>N14*0.06</f>
        <v/>
      </c>
      <c r="O21" s="33">
        <f>O14*0.06</f>
        <v/>
      </c>
      <c r="P21" s="33">
        <f>P14*0.06</f>
        <v/>
      </c>
      <c r="Q21" s="33">
        <f>Q14*0.06</f>
        <v/>
      </c>
      <c r="R21" s="33">
        <f>R14*0.06</f>
        <v/>
      </c>
      <c r="S21" s="33">
        <f>S14*0.06</f>
        <v/>
      </c>
      <c r="T21" s="33">
        <f>T14*0.06</f>
        <v/>
      </c>
      <c r="U21" s="33">
        <f>U14*0.06</f>
        <v/>
      </c>
      <c r="V21" s="33">
        <f>V14*0.06</f>
        <v/>
      </c>
      <c r="W21" s="33">
        <f>W14*0.06</f>
        <v/>
      </c>
      <c r="X21" s="33">
        <f>X14*0.06</f>
        <v/>
      </c>
      <c r="Y21" s="33">
        <f>Y14*0.06</f>
        <v/>
      </c>
    </row>
    <row r="22" ht="22" customHeight="1">
      <c r="A22" s="14" t="inlineStr">
        <is>
          <t>TOTAL CUSTOS</t>
        </is>
      </c>
      <c r="B22" s="15">
        <f>SUM(B16:B21)</f>
        <v/>
      </c>
      <c r="C22" s="15">
        <f>SUM(C16:C21)</f>
        <v/>
      </c>
      <c r="D22" s="15">
        <f>SUM(D16:D21)</f>
        <v/>
      </c>
      <c r="E22" s="15">
        <f>SUM(E16:E21)</f>
        <v/>
      </c>
      <c r="F22" s="15">
        <f>SUM(F16:F21)</f>
        <v/>
      </c>
      <c r="G22" s="15">
        <f>SUM(G16:G21)</f>
        <v/>
      </c>
      <c r="H22" s="15">
        <f>SUM(H16:H21)</f>
        <v/>
      </c>
      <c r="I22" s="15">
        <f>SUM(I16:I21)</f>
        <v/>
      </c>
      <c r="J22" s="15">
        <f>SUM(J16:J21)</f>
        <v/>
      </c>
      <c r="K22" s="15">
        <f>SUM(K16:K21)</f>
        <v/>
      </c>
      <c r="L22" s="15">
        <f>SUM(L16:L21)</f>
        <v/>
      </c>
      <c r="M22" s="15">
        <f>SUM(M16:M21)</f>
        <v/>
      </c>
      <c r="N22" s="15">
        <f>SUM(N16:N21)</f>
        <v/>
      </c>
      <c r="O22" s="15">
        <f>SUM(O16:O21)</f>
        <v/>
      </c>
      <c r="P22" s="15">
        <f>SUM(P16:P21)</f>
        <v/>
      </c>
      <c r="Q22" s="15">
        <f>SUM(Q16:Q21)</f>
        <v/>
      </c>
      <c r="R22" s="15">
        <f>SUM(R16:R21)</f>
        <v/>
      </c>
      <c r="S22" s="15">
        <f>SUM(S16:S21)</f>
        <v/>
      </c>
      <c r="T22" s="15">
        <f>SUM(T16:T21)</f>
        <v/>
      </c>
      <c r="U22" s="15">
        <f>SUM(U16:U21)</f>
        <v/>
      </c>
      <c r="V22" s="15">
        <f>SUM(V16:V21)</f>
        <v/>
      </c>
      <c r="W22" s="15">
        <f>SUM(W16:W21)</f>
        <v/>
      </c>
      <c r="X22" s="15">
        <f>SUM(X16:X21)</f>
        <v/>
      </c>
      <c r="Y22" s="15">
        <f>SUM(Y16:Y21)</f>
        <v/>
      </c>
    </row>
    <row r="23" ht="24" customHeight="1">
      <c r="A23" s="11" t="inlineStr">
        <is>
          <t xml:space="preserve">  RESULTADO</t>
        </is>
      </c>
    </row>
    <row r="24" ht="22" customHeight="1">
      <c r="A24" s="17" t="inlineStr">
        <is>
          <t>EBITDA (Receita - Custos)</t>
        </is>
      </c>
      <c r="B24" s="34">
        <f>B14-B22</f>
        <v/>
      </c>
      <c r="C24" s="34">
        <f>C14-C22</f>
        <v/>
      </c>
      <c r="D24" s="34">
        <f>D14-D22</f>
        <v/>
      </c>
      <c r="E24" s="34">
        <f>E14-E22</f>
        <v/>
      </c>
      <c r="F24" s="34">
        <f>F14-F22</f>
        <v/>
      </c>
      <c r="G24" s="34">
        <f>G14-G22</f>
        <v/>
      </c>
      <c r="H24" s="34">
        <f>H14-H22</f>
        <v/>
      </c>
      <c r="I24" s="34">
        <f>I14-I22</f>
        <v/>
      </c>
      <c r="J24" s="34">
        <f>J14-J22</f>
        <v/>
      </c>
      <c r="K24" s="34">
        <f>K14-K22</f>
        <v/>
      </c>
      <c r="L24" s="34">
        <f>L14-L22</f>
        <v/>
      </c>
      <c r="M24" s="34">
        <f>M14-M22</f>
        <v/>
      </c>
      <c r="N24" s="34">
        <f>N14-N22</f>
        <v/>
      </c>
      <c r="O24" s="34">
        <f>O14-O22</f>
        <v/>
      </c>
      <c r="P24" s="34">
        <f>P14-P22</f>
        <v/>
      </c>
      <c r="Q24" s="34">
        <f>Q14-Q22</f>
        <v/>
      </c>
      <c r="R24" s="34">
        <f>R14-R22</f>
        <v/>
      </c>
      <c r="S24" s="34">
        <f>S14-S22</f>
        <v/>
      </c>
      <c r="T24" s="34">
        <f>T14-T22</f>
        <v/>
      </c>
      <c r="U24" s="34">
        <f>U14-U22</f>
        <v/>
      </c>
      <c r="V24" s="34">
        <f>V14-V22</f>
        <v/>
      </c>
      <c r="W24" s="34">
        <f>W14-W22</f>
        <v/>
      </c>
      <c r="X24" s="34">
        <f>X14-X22</f>
        <v/>
      </c>
      <c r="Y24" s="34">
        <f>Y14-Y22</f>
        <v/>
      </c>
    </row>
    <row r="25" ht="20" customHeight="1">
      <c r="A25" s="12" t="inlineStr">
        <is>
          <t>Margem EBITDA (%)</t>
        </is>
      </c>
      <c r="B25" s="35">
        <f>IF(B14=0,"-",B24/B14)</f>
        <v/>
      </c>
      <c r="C25" s="35">
        <f>IF(C14=0,"-",C24/C14)</f>
        <v/>
      </c>
      <c r="D25" s="35">
        <f>IF(D14=0,"-",D24/D14)</f>
        <v/>
      </c>
      <c r="E25" s="35">
        <f>IF(E14=0,"-",E24/E14)</f>
        <v/>
      </c>
      <c r="F25" s="35">
        <f>IF(F14=0,"-",F24/F14)</f>
        <v/>
      </c>
      <c r="G25" s="35">
        <f>IF(G14=0,"-",G24/G14)</f>
        <v/>
      </c>
      <c r="H25" s="35">
        <f>IF(H14=0,"-",H24/H14)</f>
        <v/>
      </c>
      <c r="I25" s="35">
        <f>IF(I14=0,"-",I24/I14)</f>
        <v/>
      </c>
      <c r="J25" s="35">
        <f>IF(J14=0,"-",J24/J14)</f>
        <v/>
      </c>
      <c r="K25" s="35">
        <f>IF(K14=0,"-",K24/K14)</f>
        <v/>
      </c>
      <c r="L25" s="35">
        <f>IF(L14=0,"-",L24/L14)</f>
        <v/>
      </c>
      <c r="M25" s="35">
        <f>IF(M14=0,"-",M24/M14)</f>
        <v/>
      </c>
      <c r="N25" s="35">
        <f>IF(N14=0,"-",N24/N14)</f>
        <v/>
      </c>
      <c r="O25" s="35">
        <f>IF(O14=0,"-",O24/O14)</f>
        <v/>
      </c>
      <c r="P25" s="35">
        <f>IF(P14=0,"-",P24/P14)</f>
        <v/>
      </c>
      <c r="Q25" s="35">
        <f>IF(Q14=0,"-",Q24/Q14)</f>
        <v/>
      </c>
      <c r="R25" s="35">
        <f>IF(R14=0,"-",R24/R14)</f>
        <v/>
      </c>
      <c r="S25" s="35">
        <f>IF(S14=0,"-",S24/S14)</f>
        <v/>
      </c>
      <c r="T25" s="35">
        <f>IF(T14=0,"-",T24/T14)</f>
        <v/>
      </c>
      <c r="U25" s="35">
        <f>IF(U14=0,"-",U24/U14)</f>
        <v/>
      </c>
      <c r="V25" s="35">
        <f>IF(V14=0,"-",V24/V14)</f>
        <v/>
      </c>
      <c r="W25" s="35">
        <f>IF(W14=0,"-",W24/W14)</f>
        <v/>
      </c>
      <c r="X25" s="35">
        <f>IF(X14=0,"-",X24/X14)</f>
        <v/>
      </c>
      <c r="Y25" s="35">
        <f>IF(Y14=0,"-",Y24/Y14)</f>
        <v/>
      </c>
    </row>
    <row r="26" ht="20" customHeight="1">
      <c r="A26" s="36" t="inlineStr">
        <is>
          <t>Retirada administrador (pro-labore)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2000</v>
      </c>
      <c r="I26" s="6" t="n">
        <v>2000</v>
      </c>
      <c r="J26" s="6" t="n">
        <v>2000</v>
      </c>
      <c r="K26" s="6" t="n">
        <v>2000</v>
      </c>
      <c r="L26" s="6" t="n">
        <v>2000</v>
      </c>
      <c r="M26" s="6" t="n">
        <v>2000</v>
      </c>
      <c r="N26" s="6" t="n">
        <v>3000</v>
      </c>
      <c r="O26" s="6" t="n">
        <v>3000</v>
      </c>
      <c r="P26" s="6" t="n">
        <v>3000</v>
      </c>
      <c r="Q26" s="6" t="n">
        <v>3000</v>
      </c>
      <c r="R26" s="6" t="n">
        <v>3000</v>
      </c>
      <c r="S26" s="6" t="n">
        <v>3000</v>
      </c>
      <c r="T26" s="6" t="n">
        <v>5000</v>
      </c>
      <c r="U26" s="6" t="n">
        <v>5000</v>
      </c>
      <c r="V26" s="6" t="n">
        <v>5000</v>
      </c>
      <c r="W26" s="6" t="n">
        <v>5000</v>
      </c>
      <c r="X26" s="6" t="n">
        <v>5000</v>
      </c>
      <c r="Y26" s="6" t="n">
        <v>5000</v>
      </c>
    </row>
    <row r="27" ht="22" customHeight="1">
      <c r="A27" s="30" t="inlineStr">
        <is>
          <t>CAIXA LIQUIDO (EBITDA - pro-labore)</t>
        </is>
      </c>
      <c r="B27" s="31">
        <f>B24-B26</f>
        <v/>
      </c>
      <c r="C27" s="31">
        <f>C24-C26</f>
        <v/>
      </c>
      <c r="D27" s="31">
        <f>D24-D26</f>
        <v/>
      </c>
      <c r="E27" s="31">
        <f>E24-E26</f>
        <v/>
      </c>
      <c r="F27" s="31">
        <f>F24-F26</f>
        <v/>
      </c>
      <c r="G27" s="31">
        <f>G24-G26</f>
        <v/>
      </c>
      <c r="H27" s="31">
        <f>H24-H26</f>
        <v/>
      </c>
      <c r="I27" s="31">
        <f>I24-I26</f>
        <v/>
      </c>
      <c r="J27" s="31">
        <f>J24-J26</f>
        <v/>
      </c>
      <c r="K27" s="31">
        <f>K24-K26</f>
        <v/>
      </c>
      <c r="L27" s="31">
        <f>L24-L26</f>
        <v/>
      </c>
      <c r="M27" s="31">
        <f>M24-M26</f>
        <v/>
      </c>
      <c r="N27" s="31">
        <f>N24-N26</f>
        <v/>
      </c>
      <c r="O27" s="31">
        <f>O24-O26</f>
        <v/>
      </c>
      <c r="P27" s="31">
        <f>P24-P26</f>
        <v/>
      </c>
      <c r="Q27" s="31">
        <f>Q24-Q26</f>
        <v/>
      </c>
      <c r="R27" s="31">
        <f>R24-R26</f>
        <v/>
      </c>
      <c r="S27" s="31">
        <f>S24-S26</f>
        <v/>
      </c>
      <c r="T27" s="31">
        <f>T24-T26</f>
        <v/>
      </c>
      <c r="U27" s="31">
        <f>U24-U26</f>
        <v/>
      </c>
      <c r="V27" s="31">
        <f>V24-V26</f>
        <v/>
      </c>
      <c r="W27" s="31">
        <f>W24-W26</f>
        <v/>
      </c>
      <c r="X27" s="31">
        <f>X24-X26</f>
        <v/>
      </c>
      <c r="Y27" s="31">
        <f>Y24-Y26</f>
        <v/>
      </c>
    </row>
    <row r="29" ht="20" customHeight="1">
      <c r="A29" s="2" t="inlineStr">
        <is>
          <t>INTERPRETACAO: Meses 1-6 (MVP): receita zero, custos minimos. Meses 7-12: comissao de 8% liga, primeiros medicos pagos. Meses 13-18: escala de medicos e agendamentos. Meses 19-24: meta de sustentabilidade e renda do administrador.</t>
        </is>
      </c>
    </row>
  </sheetData>
  <mergeCells count="7">
    <mergeCell ref="A23:Z23"/>
    <mergeCell ref="A1:Z1"/>
    <mergeCell ref="A6:Z6"/>
    <mergeCell ref="A29:Z29"/>
    <mergeCell ref="A2:Z2"/>
    <mergeCell ref="A15:Z15"/>
    <mergeCell ref="A11:Z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 ht="36" customHeight="1">
      <c r="A1" s="1" t="inlineStr">
        <is>
          <t>ANIMAGEM — Metas e KPIs por Fase</t>
        </is>
      </c>
    </row>
    <row r="2" ht="20" customHeight="1">
      <c r="A2" s="2" t="inlineStr">
        <is>
          <t>Metas conservadoras baseadas em marketplace de servicos. Ajuste conforme tracao real.</t>
        </is>
      </c>
    </row>
    <row r="4" ht="36" customHeight="1">
      <c r="A4" s="3" t="inlineStr">
        <is>
          <t>KPI / META</t>
        </is>
      </c>
      <c r="B4" s="3" t="inlineStr">
        <is>
          <t>Fase 1 MVP
(M1-M6)</t>
        </is>
      </c>
      <c r="C4" s="3" t="inlineStr">
        <is>
          <t>Fase 2 Crescimento
(M7-M18)</t>
        </is>
      </c>
      <c r="D4" s="3" t="inlineStr">
        <is>
          <t>Fase 3 Escala
(M19-M24)</t>
        </is>
      </c>
      <c r="E4" s="3" t="inlineStr">
        <is>
          <t>Unidade</t>
        </is>
      </c>
      <c r="F4" s="3" t="inlineStr">
        <is>
          <t>Como medir</t>
        </is>
      </c>
    </row>
    <row r="5" ht="20" customHeight="1">
      <c r="A5" s="5" t="inlineStr">
        <is>
          <t>OPERACIONAL</t>
        </is>
      </c>
      <c r="B5" s="37" t="n"/>
      <c r="C5" s="37" t="n"/>
      <c r="D5" s="37" t="n"/>
      <c r="E5" s="37" t="n"/>
      <c r="F5" s="8" t="n"/>
    </row>
    <row r="6" ht="20" customHeight="1">
      <c r="A6" s="5" t="inlineStr">
        <is>
          <t>Medicos ativos no portal</t>
        </is>
      </c>
      <c r="B6" s="37" t="inlineStr">
        <is>
          <t>1-3</t>
        </is>
      </c>
      <c r="C6" s="37" t="inlineStr">
        <is>
          <t>4-15</t>
        </is>
      </c>
      <c r="D6" s="37" t="inlineStr">
        <is>
          <t>16-22+</t>
        </is>
      </c>
      <c r="E6" s="37" t="inlineStr">
        <is>
          <t>Medicos</t>
        </is>
      </c>
      <c r="F6" s="8" t="inlineStr">
        <is>
          <t>Medicos</t>
        </is>
      </c>
    </row>
    <row r="7" ht="20" customHeight="1">
      <c r="A7" s="5" t="inlineStr">
        <is>
          <t>Agendamentos / mes (total)</t>
        </is>
      </c>
      <c r="B7" s="37" t="inlineStr">
        <is>
          <t>4-21</t>
        </is>
      </c>
      <c r="C7" s="37" t="inlineStr">
        <is>
          <t>32-180</t>
        </is>
      </c>
      <c r="D7" s="37" t="inlineStr">
        <is>
          <t>240-396</t>
        </is>
      </c>
      <c r="E7" s="37" t="inlineStr">
        <is>
          <t>Agend.</t>
        </is>
      </c>
      <c r="F7" s="8" t="inlineStr">
        <is>
          <t>Agend.</t>
        </is>
      </c>
    </row>
    <row r="8" ht="20" customHeight="1">
      <c r="A8" s="5" t="inlineStr">
        <is>
          <t>Taxa de conversao (busca &gt; agend.)</t>
        </is>
      </c>
      <c r="B8" s="37" t="inlineStr">
        <is>
          <t>5-10%</t>
        </is>
      </c>
      <c r="C8" s="37" t="inlineStr">
        <is>
          <t>10-15%</t>
        </is>
      </c>
      <c r="D8" s="37" t="inlineStr">
        <is>
          <t>15-20%</t>
        </is>
      </c>
      <c r="E8" s="37" t="inlineStr">
        <is>
          <t>%</t>
        </is>
      </c>
      <c r="F8" s="8" t="inlineStr">
        <is>
          <t>%</t>
        </is>
      </c>
    </row>
    <row r="9" ht="20" customHeight="1">
      <c r="A9" s="5" t="inlineStr">
        <is>
          <t>Agendamentos cancelados / total</t>
        </is>
      </c>
      <c r="B9" s="37" t="inlineStr">
        <is>
          <t>&lt;20%</t>
        </is>
      </c>
      <c r="C9" s="37" t="inlineStr">
        <is>
          <t>&lt;15%</t>
        </is>
      </c>
      <c r="D9" s="37" t="inlineStr">
        <is>
          <t>&lt;10%</t>
        </is>
      </c>
      <c r="E9" s="37" t="inlineStr">
        <is>
          <t>%</t>
        </is>
      </c>
      <c r="F9" s="8" t="inlineStr">
        <is>
          <t>%</t>
        </is>
      </c>
    </row>
    <row r="10" ht="20" customHeight="1">
      <c r="A10" s="5" t="inlineStr">
        <is>
          <t>Novos medicos captados / mes</t>
        </is>
      </c>
      <c r="B10" s="37" t="inlineStr">
        <is>
          <t>0-1</t>
        </is>
      </c>
      <c r="C10" s="37" t="inlineStr">
        <is>
          <t>1-2</t>
        </is>
      </c>
      <c r="D10" s="37" t="inlineStr">
        <is>
          <t>2-3</t>
        </is>
      </c>
      <c r="E10" s="37" t="inlineStr">
        <is>
          <t>Medicos</t>
        </is>
      </c>
      <c r="F10" s="8" t="inlineStr">
        <is>
          <t>Medicos</t>
        </is>
      </c>
    </row>
    <row r="11" ht="20" customHeight="1">
      <c r="A11" s="5" t="inlineStr">
        <is>
          <t>FINANCEIRO</t>
        </is>
      </c>
      <c r="B11" s="37" t="n"/>
      <c r="C11" s="37" t="n"/>
      <c r="D11" s="37" t="n"/>
      <c r="E11" s="37" t="n"/>
      <c r="F11" s="8" t="n"/>
    </row>
    <row r="12" ht="20" customHeight="1">
      <c r="A12" s="5" t="inlineStr">
        <is>
          <t>Volume bruto de exames (R$/mes)</t>
        </is>
      </c>
      <c r="B12" s="37" t="inlineStr">
        <is>
          <t>R$ 0</t>
        </is>
      </c>
      <c r="C12" s="37" t="inlineStr">
        <is>
          <t>R$ 6.000-34.000</t>
        </is>
      </c>
      <c r="D12" s="37" t="inlineStr">
        <is>
          <t>R$ 46.800-79.200</t>
        </is>
      </c>
      <c r="E12" s="37" t="inlineStr">
        <is>
          <t>R$</t>
        </is>
      </c>
      <c r="F12" s="8" t="inlineStr">
        <is>
          <t>R$</t>
        </is>
      </c>
    </row>
    <row r="13" ht="20" customHeight="1">
      <c r="A13" s="5" t="inlineStr">
        <is>
          <t>Receita Animagem comissao (R$/mes)</t>
        </is>
      </c>
      <c r="B13" s="37" t="inlineStr">
        <is>
          <t>R$ 0</t>
        </is>
      </c>
      <c r="C13" s="37" t="inlineStr">
        <is>
          <t>R$ 480-2.720</t>
        </is>
      </c>
      <c r="D13" s="37" t="inlineStr">
        <is>
          <t>R$ 5.616-9.504</t>
        </is>
      </c>
      <c r="E13" s="37" t="inlineStr">
        <is>
          <t>R$</t>
        </is>
      </c>
      <c r="F13" s="8" t="inlineStr">
        <is>
          <t>R$</t>
        </is>
      </c>
    </row>
    <row r="14" ht="20" customHeight="1">
      <c r="A14" s="5" t="inlineStr">
        <is>
          <t>Custo fixo mensal</t>
        </is>
      </c>
      <c r="B14" s="37" t="inlineStr">
        <is>
          <t>R$ 310</t>
        </is>
      </c>
      <c r="C14" s="37" t="inlineStr">
        <is>
          <t>R$ 1.113</t>
        </is>
      </c>
      <c r="D14" s="37" t="inlineStr">
        <is>
          <t>R$ 2.938</t>
        </is>
      </c>
      <c r="E14" s="37" t="inlineStr">
        <is>
          <t>R$</t>
        </is>
      </c>
      <c r="F14" s="8" t="inlineStr">
        <is>
          <t>R$</t>
        </is>
      </c>
    </row>
    <row r="15" ht="20" customHeight="1">
      <c r="A15" s="5" t="inlineStr">
        <is>
          <t>EBITDA mensal</t>
        </is>
      </c>
      <c r="B15" s="37" t="inlineStr">
        <is>
          <t>Negativo</t>
        </is>
      </c>
      <c r="C15" s="37" t="inlineStr">
        <is>
          <t>Positivo a partir M10</t>
        </is>
      </c>
      <c r="D15" s="37" t="inlineStr">
        <is>
          <t>R$ 2.678-6.566</t>
        </is>
      </c>
      <c r="E15" s="37" t="inlineStr">
        <is>
          <t>R$</t>
        </is>
      </c>
      <c r="F15" s="8" t="inlineStr">
        <is>
          <t>R$</t>
        </is>
      </c>
    </row>
    <row r="16" ht="20" customHeight="1">
      <c r="A16" s="5" t="inlineStr">
        <is>
          <t>Pro-labore administrador</t>
        </is>
      </c>
      <c r="B16" s="37" t="inlineStr">
        <is>
          <t>R$ 0</t>
        </is>
      </c>
      <c r="C16" s="37" t="inlineStr">
        <is>
          <t>R$ 2.000 (M7+)</t>
        </is>
      </c>
      <c r="D16" s="37" t="inlineStr">
        <is>
          <t>R$ 5.000 (M19+)</t>
        </is>
      </c>
      <c r="E16" s="37" t="inlineStr">
        <is>
          <t>R$/mes</t>
        </is>
      </c>
      <c r="F16" s="8" t="inlineStr">
        <is>
          <t>R$/mes</t>
        </is>
      </c>
    </row>
    <row r="17" ht="20" customHeight="1">
      <c r="A17" s="5" t="inlineStr">
        <is>
          <t>Payback do investimento inicial</t>
        </is>
      </c>
      <c r="B17" s="37" t="inlineStr">
        <is>
          <t>-</t>
        </is>
      </c>
      <c r="C17" s="37" t="inlineStr">
        <is>
          <t>-</t>
        </is>
      </c>
      <c r="D17" s="37" t="inlineStr">
        <is>
          <t>Estimado M18-M22</t>
        </is>
      </c>
      <c r="E17" s="37" t="inlineStr">
        <is>
          <t>Meses</t>
        </is>
      </c>
      <c r="F17" s="8" t="inlineStr">
        <is>
          <t>Meses</t>
        </is>
      </c>
    </row>
    <row r="18" ht="20" customHeight="1">
      <c r="A18" s="5" t="inlineStr">
        <is>
          <t>Ponto de equilbrio (break-even)</t>
        </is>
      </c>
      <c r="B18" s="37" t="inlineStr">
        <is>
          <t>-</t>
        </is>
      </c>
      <c r="C18" s="37" t="inlineStr">
        <is>
          <t>~M10 (com comissao)</t>
        </is>
      </c>
      <c r="D18" s="37" t="inlineStr">
        <is>
          <t>-</t>
        </is>
      </c>
      <c r="E18" s="37" t="inlineStr">
        <is>
          <t>Mes</t>
        </is>
      </c>
      <c r="F18" s="8" t="inlineStr">
        <is>
          <t>Mes</t>
        </is>
      </c>
    </row>
    <row r="19" ht="20" customHeight="1">
      <c r="A19" s="5" t="inlineStr">
        <is>
          <t>PRODUTO E QUALIDADE</t>
        </is>
      </c>
      <c r="B19" s="37" t="n"/>
      <c r="C19" s="37" t="n"/>
      <c r="D19" s="37" t="n"/>
      <c r="E19" s="37" t="n"/>
      <c r="F19" s="8" t="n"/>
    </row>
    <row r="20" ht="20" customHeight="1">
      <c r="A20" s="5" t="inlineStr">
        <is>
          <t>NPS tutores (satisfacao)</t>
        </is>
      </c>
      <c r="B20" s="37" t="inlineStr">
        <is>
          <t>-</t>
        </is>
      </c>
      <c r="C20" s="37" t="inlineStr">
        <is>
          <t>&gt;50</t>
        </is>
      </c>
      <c r="D20" s="37" t="inlineStr">
        <is>
          <t>&gt;70</t>
        </is>
      </c>
      <c r="E20" s="37" t="inlineStr">
        <is>
          <t>Pontos</t>
        </is>
      </c>
      <c r="F20" s="8" t="inlineStr">
        <is>
          <t>Pontos</t>
        </is>
      </c>
    </row>
    <row r="21" ht="20" customHeight="1">
      <c r="A21" s="5" t="inlineStr">
        <is>
          <t>Avaliacao media medicos</t>
        </is>
      </c>
      <c r="B21" s="37" t="inlineStr">
        <is>
          <t>-</t>
        </is>
      </c>
      <c r="C21" s="37" t="inlineStr">
        <is>
          <t>4.5/5.0+</t>
        </is>
      </c>
      <c r="D21" s="37" t="inlineStr">
        <is>
          <t>4.7/5.0+</t>
        </is>
      </c>
      <c r="E21" s="37" t="inlineStr">
        <is>
          <t>Estrelas</t>
        </is>
      </c>
      <c r="F21" s="8" t="inlineStr">
        <is>
          <t>Estrelas</t>
        </is>
      </c>
    </row>
    <row r="22" ht="20" customHeight="1">
      <c r="A22" s="5" t="inlineStr">
        <is>
          <t>Tempo medio de resposta MV</t>
        </is>
      </c>
      <c r="B22" s="37" t="inlineStr">
        <is>
          <t>-</t>
        </is>
      </c>
      <c r="C22" s="37" t="inlineStr">
        <is>
          <t>&lt;2h</t>
        </is>
      </c>
      <c r="D22" s="37" t="inlineStr">
        <is>
          <t>&lt;1h</t>
        </is>
      </c>
      <c r="E22" s="37" t="inlineStr">
        <is>
          <t>Horas</t>
        </is>
      </c>
      <c r="F22" s="8" t="inlineStr">
        <is>
          <t>Horas</t>
        </is>
      </c>
    </row>
    <row r="23" ht="20" customHeight="1">
      <c r="A23" s="5" t="inlineStr">
        <is>
          <t>Disponibilidade do portal</t>
        </is>
      </c>
      <c r="B23" s="37" t="inlineStr">
        <is>
          <t>99%+</t>
        </is>
      </c>
      <c r="C23" s="37" t="inlineStr">
        <is>
          <t>99.5%+</t>
        </is>
      </c>
      <c r="D23" s="37" t="inlineStr">
        <is>
          <t>99.9%+</t>
        </is>
      </c>
      <c r="E23" s="37" t="inlineStr">
        <is>
          <t>%</t>
        </is>
      </c>
      <c r="F23" s="8" t="inlineStr">
        <is>
          <t>%</t>
        </is>
      </c>
    </row>
    <row r="25" ht="24" customHeight="1">
      <c r="A25" s="11" t="inlineStr">
        <is>
          <t xml:space="preserve">  ROTEIRO ESTRATEGICO RESUMIDO</t>
        </is>
      </c>
    </row>
    <row r="26" ht="24" customHeight="1">
      <c r="A26" s="3" t="inlineStr">
        <is>
          <t>Periodo</t>
        </is>
      </c>
      <c r="B26" s="3" t="inlineStr">
        <is>
          <t>Acoes prioritarias</t>
        </is>
      </c>
      <c r="C26" s="38" t="n"/>
      <c r="D26" s="38" t="n"/>
      <c r="E26" s="38" t="n"/>
      <c r="F26" s="39" t="n"/>
    </row>
    <row r="27" ht="22" customHeight="1">
      <c r="A27" s="40" t="inlineStr">
        <is>
          <t>M1-M2</t>
        </is>
      </c>
      <c r="B27" s="41" t="inlineStr">
        <is>
          <t>Abrir LTDA | Registrar marca INPI | Dominio | Google Workspace | Portal no ar com Ana Camila</t>
        </is>
      </c>
    </row>
    <row r="28" ht="22" customHeight="1">
      <c r="A28" s="40" t="inlineStr">
        <is>
          <t>M3-M4</t>
        </is>
      </c>
      <c r="B28" s="5" t="inlineStr">
        <is>
          <t>Captar 2-3 medicos parceiros | Validar fluxo de agendamento | Ajustes de UX com feedback real</t>
        </is>
      </c>
    </row>
    <row r="29" ht="22" customHeight="1">
      <c r="A29" s="40" t="inlineStr">
        <is>
          <t>M5-M6</t>
        </is>
      </c>
      <c r="B29" s="41" t="inlineStr">
        <is>
          <t>Integrar Pagar.me | Ativar pagamento online | Primeiros agendamentos pagos no portal</t>
        </is>
      </c>
    </row>
    <row r="30" ht="22" customHeight="1">
      <c r="A30" s="40" t="inlineStr">
        <is>
          <t>M7-M9</t>
        </is>
      </c>
      <c r="B30" s="5" t="inlineStr">
        <is>
          <t>Ligar comissao 8% | Google Ads basico | Meta: 5+ medicos e 50+ agendamentos/mes</t>
        </is>
      </c>
    </row>
    <row r="31" ht="22" customHeight="1">
      <c r="A31" s="40" t="inlineStr">
        <is>
          <t>M10-M12</t>
        </is>
      </c>
      <c r="B31" s="41" t="inlineStr">
        <is>
          <t>Break-even operacional | Iniciar pro-labore R$2.000 | Meta: 8+ medicos</t>
        </is>
      </c>
    </row>
    <row r="32" ht="22" customHeight="1">
      <c r="A32" s="40" t="inlineStr">
        <is>
          <t>M13-M18</t>
        </is>
      </c>
      <c r="B32" s="5" t="inlineStr">
        <is>
          <t>Aumentar comissao para 10% | Marketing digital sistematico | Meta: 12+ medicos</t>
        </is>
      </c>
    </row>
    <row r="33" ht="22" customHeight="1">
      <c r="A33" s="40" t="inlineStr">
        <is>
          <t>M19-M24</t>
        </is>
      </c>
      <c r="B33" s="41" t="inlineStr">
        <is>
          <t>Comissao 12% + taxa de entrada | Pro-labore R$5.000 | Avaliar expansao geografica</t>
        </is>
      </c>
    </row>
  </sheetData>
  <mergeCells count="11">
    <mergeCell ref="B30:F30"/>
    <mergeCell ref="A2:F2"/>
    <mergeCell ref="B29:F29"/>
    <mergeCell ref="B33:F33"/>
    <mergeCell ref="A1:F1"/>
    <mergeCell ref="B28:F28"/>
    <mergeCell ref="B31:F31"/>
    <mergeCell ref="B32:F32"/>
    <mergeCell ref="B26:F26"/>
    <mergeCell ref="B27:F2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2026-05-20T11:05:28Z</dcterms:created>
  <dcterms:modified xmlns:dcterms="http://purl.org/dc/terms/" xmlns:xsi="http://www.w3.org/2001/XMLSchema-instance" xsi:type="dcterms:W3CDTF">2026-05-20T11:05:28Z</dcterms:modified>
</cp:coreProperties>
</file>